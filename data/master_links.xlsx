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rypto\Private\NSFW\LinkBoard\data\"/>
    </mc:Choice>
  </mc:AlternateContent>
  <xr:revisionPtr revIDLastSave="0" documentId="13_ncr:1_{ED40A13C-7843-4390-B4CB-2B9EFC23B4E1}" xr6:coauthVersionLast="47" xr6:coauthVersionMax="47" xr10:uidLastSave="{00000000-0000-0000-0000-000000000000}"/>
  <bookViews>
    <workbookView xWindow="-120" yWindow="-120" windowWidth="29040" windowHeight="15960" tabRatio="314" xr2:uid="{00000000-000D-0000-FFFF-FFFF00000000}"/>
  </bookViews>
  <sheets>
    <sheet name="main_links" sheetId="2" r:id="rId1"/>
    <sheet name="Core_cat" sheetId="6" r:id="rId2"/>
    <sheet name="bdsmvilla" sheetId="5" r:id="rId3"/>
  </sheets>
  <definedNames>
    <definedName name="_xlnm._FilterDatabase" localSheetId="0" hidden="1">main_links!$A$1:$U$156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4" i="2" l="1"/>
  <c r="U155" i="2" a="1"/>
  <c r="U155" i="2" s="1"/>
  <c r="A155" i="2"/>
  <c r="U145" i="2" a="1"/>
  <c r="U145" i="2" s="1"/>
  <c r="U146" i="2" a="1"/>
  <c r="U146" i="2" s="1"/>
  <c r="U147" i="2" a="1"/>
  <c r="U147" i="2" s="1"/>
  <c r="U148" i="2" a="1"/>
  <c r="U148" i="2" s="1"/>
  <c r="U149" i="2" a="1"/>
  <c r="U149" i="2" s="1"/>
  <c r="U150" i="2" a="1"/>
  <c r="U150" i="2" s="1"/>
  <c r="U151" i="2" a="1"/>
  <c r="U151" i="2" s="1"/>
  <c r="U152" i="2" a="1"/>
  <c r="U152" i="2" s="1"/>
  <c r="U153" i="2" a="1"/>
  <c r="U153" i="2" s="1"/>
  <c r="U156" i="2" a="1"/>
  <c r="U156" i="2" s="1"/>
  <c r="A153" i="2"/>
  <c r="A156" i="2"/>
  <c r="A145" i="2"/>
  <c r="A146" i="2"/>
  <c r="A152" i="2"/>
  <c r="U21" i="2" a="1"/>
  <c r="U21" i="2" s="1"/>
  <c r="U75" i="2" a="1"/>
  <c r="U75" i="2" s="1"/>
  <c r="A21" i="2"/>
  <c r="A75" i="2"/>
  <c r="U44" i="2" a="1"/>
  <c r="U44" i="2" s="1"/>
  <c r="U105" i="2" a="1"/>
  <c r="U105" i="2" s="1"/>
  <c r="U45" i="2" a="1"/>
  <c r="U45" i="2" s="1"/>
  <c r="U73" i="2" a="1"/>
  <c r="U73" i="2" s="1"/>
  <c r="U106" i="2" a="1"/>
  <c r="U106" i="2" s="1"/>
  <c r="U74" i="2" a="1"/>
  <c r="U74" i="2" s="1"/>
  <c r="A73" i="2"/>
  <c r="A106" i="2"/>
  <c r="U15" i="2" a="1"/>
  <c r="U15" i="2" s="1"/>
  <c r="A74" i="2"/>
  <c r="A45" i="2"/>
  <c r="A105" i="2"/>
  <c r="A44" i="2"/>
  <c r="A15" i="2"/>
  <c r="A60" i="2"/>
  <c r="A3" i="2"/>
  <c r="U60" i="2" a="1"/>
  <c r="U60" i="2" s="1"/>
  <c r="A107" i="2"/>
  <c r="U129" i="2" a="1"/>
  <c r="U129" i="2" s="1"/>
  <c r="U3" i="2" a="1"/>
  <c r="U3" i="2" s="1"/>
  <c r="U22" i="2" a="1"/>
  <c r="U22" i="2" s="1"/>
  <c r="A129" i="2"/>
  <c r="A67" i="2"/>
  <c r="A14" i="2"/>
  <c r="A130" i="2"/>
  <c r="A97" i="2"/>
  <c r="U67" i="2" a="1"/>
  <c r="U67" i="2" s="1"/>
  <c r="U14" i="2" a="1"/>
  <c r="U14" i="2" s="1"/>
  <c r="U130" i="2" a="1"/>
  <c r="U130" i="2" s="1"/>
  <c r="U97" i="2" a="1"/>
  <c r="U97" i="2" s="1"/>
  <c r="U40" i="2" a="1"/>
  <c r="U40" i="2" s="1"/>
  <c r="U18" i="2" a="1"/>
  <c r="U18" i="2" s="1"/>
  <c r="U5" i="2" a="1"/>
  <c r="U5" i="2" s="1"/>
  <c r="U41" i="2" a="1"/>
  <c r="U41" i="2" s="1"/>
  <c r="U72" i="2" a="1"/>
  <c r="U72" i="2" s="1"/>
  <c r="U42" i="2" a="1"/>
  <c r="U42" i="2" s="1"/>
  <c r="U43" i="2" a="1"/>
  <c r="U43" i="2" s="1"/>
  <c r="U66" i="2" a="1"/>
  <c r="U66" i="2" s="1"/>
  <c r="A66" i="2"/>
  <c r="A43" i="2"/>
  <c r="A42" i="2"/>
  <c r="A72" i="2"/>
  <c r="A41" i="2"/>
  <c r="A5" i="2"/>
  <c r="A18" i="2"/>
  <c r="A40" i="2"/>
  <c r="A17" i="2"/>
  <c r="A38" i="2"/>
  <c r="A39" i="2"/>
  <c r="A71" i="2"/>
  <c r="A104" i="2"/>
  <c r="A70" i="2"/>
  <c r="A22" i="2"/>
  <c r="A19" i="2"/>
  <c r="A20" i="2"/>
  <c r="U17" i="2" a="1"/>
  <c r="U17" i="2" s="1"/>
  <c r="U38" i="2" a="1"/>
  <c r="U38" i="2" s="1"/>
  <c r="U39" i="2" a="1"/>
  <c r="U39" i="2" s="1"/>
  <c r="U71" i="2" a="1"/>
  <c r="U71" i="2" s="1"/>
  <c r="U104" i="2" a="1"/>
  <c r="U104" i="2" s="1"/>
  <c r="U107" i="2" a="1"/>
  <c r="U107" i="2" s="1"/>
  <c r="U70" i="2" a="1"/>
  <c r="U70" i="2" s="1"/>
  <c r="U19" i="2" a="1"/>
  <c r="U19" i="2" s="1"/>
  <c r="U20" i="2" a="1"/>
  <c r="U20" i="2" s="1"/>
  <c r="U2" i="2" a="1"/>
  <c r="U2" i="2" s="1"/>
  <c r="U16" i="2" a="1"/>
  <c r="U16" i="2" s="1"/>
  <c r="U13" i="2" a="1"/>
  <c r="U13" i="2" s="1"/>
  <c r="U12" i="2" a="1"/>
  <c r="U12" i="2" s="1"/>
  <c r="U11" i="2" a="1"/>
  <c r="U11" i="2" s="1"/>
  <c r="U10" i="2" a="1"/>
  <c r="U10" i="2" s="1"/>
  <c r="U9" i="2" a="1"/>
  <c r="U9" i="2" s="1"/>
  <c r="U7" i="2" a="1"/>
  <c r="U7" i="2" s="1"/>
  <c r="U8" i="2" a="1"/>
  <c r="U8" i="2" s="1"/>
  <c r="U37" i="2" a="1"/>
  <c r="U37" i="2" s="1"/>
  <c r="U35" i="2" a="1"/>
  <c r="U35" i="2" s="1"/>
  <c r="U34" i="2" a="1"/>
  <c r="U34" i="2" s="1"/>
  <c r="U33" i="2" a="1"/>
  <c r="U33" i="2" s="1"/>
  <c r="U32" i="2" a="1"/>
  <c r="U32" i="2" s="1"/>
  <c r="U31" i="2" a="1"/>
  <c r="U31" i="2" s="1"/>
  <c r="U30" i="2" a="1"/>
  <c r="U30" i="2" s="1"/>
  <c r="U29" i="2" a="1"/>
  <c r="U29" i="2" s="1"/>
  <c r="U27" i="2" a="1"/>
  <c r="U27" i="2" s="1"/>
  <c r="U28" i="2" a="1"/>
  <c r="U28" i="2" s="1"/>
  <c r="U26" i="2" a="1"/>
  <c r="U26" i="2" s="1"/>
  <c r="U25" i="2" a="1"/>
  <c r="U25" i="2" s="1"/>
  <c r="U24" i="2" a="1"/>
  <c r="U24" i="2" s="1"/>
  <c r="U23" i="2" a="1"/>
  <c r="U23" i="2" s="1"/>
  <c r="U69" i="2" a="1"/>
  <c r="U69" i="2" s="1"/>
  <c r="U68" i="2" a="1"/>
  <c r="U68" i="2" s="1"/>
  <c r="U65" i="2" a="1"/>
  <c r="U65" i="2" s="1"/>
  <c r="U64" i="2" a="1"/>
  <c r="U64" i="2" s="1"/>
  <c r="U63" i="2" a="1"/>
  <c r="U63" i="2" s="1"/>
  <c r="U62" i="2" a="1"/>
  <c r="U62" i="2" s="1"/>
  <c r="U61" i="2" a="1"/>
  <c r="U61" i="2" s="1"/>
  <c r="U59" i="2" a="1"/>
  <c r="U59" i="2" s="1"/>
  <c r="U58" i="2" a="1"/>
  <c r="U58" i="2" s="1"/>
  <c r="U57" i="2" a="1"/>
  <c r="U57" i="2" s="1"/>
  <c r="U55" i="2" a="1"/>
  <c r="U55" i="2" s="1"/>
  <c r="U56" i="2" a="1"/>
  <c r="U56" i="2" s="1"/>
  <c r="U54" i="2" a="1"/>
  <c r="U54" i="2" s="1"/>
  <c r="U53" i="2" a="1"/>
  <c r="U53" i="2" s="1"/>
  <c r="U52" i="2" a="1"/>
  <c r="U52" i="2" s="1"/>
  <c r="U51" i="2" a="1"/>
  <c r="U51" i="2" s="1"/>
  <c r="U50" i="2" a="1"/>
  <c r="U50" i="2" s="1"/>
  <c r="U102" i="2" a="1"/>
  <c r="U102" i="2" s="1"/>
  <c r="U103" i="2" a="1"/>
  <c r="U103" i="2" s="1"/>
  <c r="U101" i="2" a="1"/>
  <c r="U101" i="2" s="1"/>
  <c r="U100" i="2" a="1"/>
  <c r="U100" i="2" s="1"/>
  <c r="U99" i="2" a="1"/>
  <c r="U99" i="2" s="1"/>
  <c r="U98" i="2" a="1"/>
  <c r="U98" i="2" s="1"/>
  <c r="U96" i="2" a="1"/>
  <c r="U96" i="2" s="1"/>
  <c r="U95" i="2" a="1"/>
  <c r="U95" i="2" s="1"/>
  <c r="U93" i="2" a="1"/>
  <c r="U93" i="2" s="1"/>
  <c r="U94" i="2" a="1"/>
  <c r="U94" i="2" s="1"/>
  <c r="U92" i="2" a="1"/>
  <c r="U92" i="2" s="1"/>
  <c r="U90" i="2" a="1"/>
  <c r="U90" i="2" s="1"/>
  <c r="U91" i="2" a="1"/>
  <c r="U91" i="2" s="1"/>
  <c r="U89" i="2" a="1"/>
  <c r="U89" i="2" s="1"/>
  <c r="U88" i="2" a="1"/>
  <c r="U88" i="2" s="1"/>
  <c r="U87" i="2" a="1"/>
  <c r="U87" i="2" s="1"/>
  <c r="U85" i="2" a="1"/>
  <c r="U85" i="2" s="1"/>
  <c r="U86" i="2" a="1"/>
  <c r="U86" i="2" s="1"/>
  <c r="U84" i="2" a="1"/>
  <c r="U84" i="2" s="1"/>
  <c r="U83" i="2" a="1"/>
  <c r="U83" i="2" s="1"/>
  <c r="U82" i="2" a="1"/>
  <c r="U82" i="2" s="1"/>
  <c r="U81" i="2" a="1"/>
  <c r="U81" i="2" s="1"/>
  <c r="U79" i="2" a="1"/>
  <c r="U79" i="2" s="1"/>
  <c r="U78" i="2" a="1"/>
  <c r="U78" i="2" s="1"/>
  <c r="U80" i="2" a="1"/>
  <c r="U80" i="2" s="1"/>
  <c r="U131" i="2" a="1"/>
  <c r="U131" i="2" s="1"/>
  <c r="U132" i="2" a="1"/>
  <c r="U132" i="2" s="1"/>
  <c r="U128" i="2" a="1"/>
  <c r="U128" i="2" s="1"/>
  <c r="U127" i="2" a="1"/>
  <c r="U127" i="2" s="1"/>
  <c r="U126" i="2" a="1"/>
  <c r="U126" i="2" s="1"/>
  <c r="U125" i="2" a="1"/>
  <c r="U125" i="2" s="1"/>
  <c r="U124" i="2" a="1"/>
  <c r="U124" i="2" s="1"/>
  <c r="U123" i="2" a="1"/>
  <c r="U123" i="2" s="1"/>
  <c r="U121" i="2" a="1"/>
  <c r="U121" i="2" s="1"/>
  <c r="U122" i="2" a="1"/>
  <c r="U122" i="2" s="1"/>
  <c r="U120" i="2" a="1"/>
  <c r="U120" i="2" s="1"/>
  <c r="U119" i="2" a="1"/>
  <c r="U119" i="2" s="1"/>
  <c r="U118" i="2" a="1"/>
  <c r="U118" i="2" s="1"/>
  <c r="U116" i="2" a="1"/>
  <c r="U116" i="2" s="1"/>
  <c r="U117" i="2" a="1"/>
  <c r="U117" i="2" s="1"/>
  <c r="U114" i="2" a="1"/>
  <c r="U114" i="2" s="1"/>
  <c r="U115" i="2" a="1"/>
  <c r="U115" i="2" s="1"/>
  <c r="U113" i="2" a="1"/>
  <c r="U113" i="2" s="1"/>
  <c r="U112" i="2" a="1"/>
  <c r="U112" i="2" s="1"/>
  <c r="U111" i="2" a="1"/>
  <c r="U111" i="2" s="1"/>
  <c r="U109" i="2" a="1"/>
  <c r="U109" i="2" s="1"/>
  <c r="U108" i="2" a="1"/>
  <c r="U108" i="2" s="1"/>
  <c r="U110" i="2" a="1"/>
  <c r="U110" i="2" s="1"/>
  <c r="U141" i="2" a="1"/>
  <c r="U141" i="2" s="1"/>
  <c r="U140" i="2" a="1"/>
  <c r="U140" i="2" s="1"/>
  <c r="U139" i="2" a="1"/>
  <c r="U139" i="2" s="1"/>
  <c r="U138" i="2" a="1"/>
  <c r="U138" i="2" s="1"/>
  <c r="U137" i="2" a="1"/>
  <c r="U137" i="2" s="1"/>
  <c r="U136" i="2" a="1"/>
  <c r="U136" i="2" s="1"/>
  <c r="U134" i="2" a="1"/>
  <c r="U134" i="2" s="1"/>
  <c r="U135" i="2" a="1"/>
  <c r="U135" i="2" s="1"/>
  <c r="U133" i="2" a="1"/>
  <c r="U133" i="2" s="1"/>
  <c r="U144" i="2" a="1"/>
  <c r="U144" i="2" s="1"/>
  <c r="U143" i="2" a="1"/>
  <c r="U143" i="2" s="1"/>
  <c r="U142" i="2" a="1"/>
  <c r="U142" i="2" s="1"/>
  <c r="U49" i="2" a="1"/>
  <c r="U49" i="2" s="1"/>
  <c r="U6" i="2" a="1"/>
  <c r="U6" i="2" s="1"/>
  <c r="U48" i="2" a="1"/>
  <c r="U48" i="2" s="1"/>
  <c r="U47" i="2" a="1"/>
  <c r="U47" i="2" s="1"/>
  <c r="U46" i="2" a="1"/>
  <c r="U46" i="2" s="1"/>
  <c r="U77" i="2" a="1"/>
  <c r="U77" i="2" s="1"/>
  <c r="U36" i="2" a="1"/>
  <c r="U36" i="2" s="1"/>
  <c r="U76" i="2" a="1"/>
  <c r="U76" i="2" s="1"/>
  <c r="A36" i="2"/>
  <c r="A4" i="2"/>
  <c r="U4" i="2" a="1"/>
  <c r="U4" i="2" s="1"/>
  <c r="A16" i="2"/>
  <c r="A13" i="2"/>
  <c r="A12" i="2"/>
  <c r="A11" i="2"/>
  <c r="A10" i="2"/>
  <c r="A9" i="2"/>
  <c r="A7" i="2"/>
  <c r="A37" i="2"/>
  <c r="A35" i="2"/>
  <c r="A34" i="2"/>
  <c r="A33" i="2"/>
  <c r="A32" i="2"/>
  <c r="A31" i="2"/>
  <c r="A30" i="2"/>
  <c r="A29" i="2"/>
  <c r="A27" i="2"/>
  <c r="A28" i="2"/>
  <c r="A26" i="2"/>
  <c r="A25" i="2"/>
  <c r="A24" i="2"/>
  <c r="A23" i="2"/>
  <c r="A69" i="2"/>
  <c r="A68" i="2"/>
  <c r="A65" i="2"/>
  <c r="A64" i="2"/>
  <c r="A63" i="2"/>
  <c r="A62" i="2"/>
  <c r="A61" i="2"/>
  <c r="A59" i="2"/>
  <c r="A58" i="2"/>
  <c r="A57" i="2"/>
  <c r="A55" i="2"/>
  <c r="A56" i="2"/>
  <c r="A54" i="2"/>
  <c r="A53" i="2"/>
  <c r="A52" i="2"/>
  <c r="A51" i="2"/>
  <c r="A50" i="2"/>
  <c r="A102" i="2"/>
  <c r="A103" i="2"/>
  <c r="A101" i="2"/>
  <c r="A100" i="2"/>
  <c r="A99" i="2"/>
  <c r="A98" i="2"/>
  <c r="A96" i="2"/>
  <c r="A95" i="2"/>
  <c r="A93" i="2"/>
  <c r="A94" i="2"/>
  <c r="A92" i="2"/>
  <c r="A90" i="2"/>
  <c r="A91" i="2"/>
  <c r="A89" i="2"/>
  <c r="A88" i="2"/>
  <c r="A87" i="2"/>
  <c r="A85" i="2"/>
  <c r="A86" i="2"/>
  <c r="A84" i="2"/>
  <c r="A83" i="2"/>
  <c r="A82" i="2"/>
  <c r="A81" i="2"/>
  <c r="A79" i="2"/>
  <c r="A78" i="2"/>
  <c r="A131" i="2"/>
  <c r="A132" i="2"/>
  <c r="A128" i="2"/>
  <c r="A127" i="2"/>
  <c r="A126" i="2"/>
  <c r="A125" i="2"/>
  <c r="A124" i="2"/>
  <c r="A123" i="2"/>
  <c r="A121" i="2"/>
  <c r="A122" i="2"/>
  <c r="A120" i="2"/>
  <c r="A119" i="2"/>
  <c r="A118" i="2"/>
  <c r="A116" i="2"/>
  <c r="A117" i="2"/>
  <c r="A114" i="2"/>
  <c r="A115" i="2"/>
  <c r="A113" i="2"/>
  <c r="A112" i="2"/>
  <c r="A111" i="2"/>
  <c r="A109" i="2"/>
  <c r="A108" i="2"/>
  <c r="A141" i="2"/>
  <c r="A140" i="2"/>
  <c r="A139" i="2"/>
  <c r="A138" i="2"/>
  <c r="A137" i="2"/>
  <c r="A136" i="2"/>
  <c r="A134" i="2"/>
  <c r="A135" i="2"/>
  <c r="A133" i="2"/>
  <c r="A144" i="2"/>
  <c r="A143" i="2"/>
  <c r="A142" i="2"/>
  <c r="A80" i="2"/>
  <c r="A110" i="2"/>
  <c r="A8" i="2"/>
  <c r="A2" i="2"/>
  <c r="A49" i="2"/>
  <c r="A6" i="2"/>
  <c r="A48" i="2"/>
  <c r="A47" i="2"/>
  <c r="A46" i="2"/>
  <c r="A77" i="2"/>
  <c r="A76" i="2"/>
  <c r="D8" i="6"/>
  <c r="D9" i="6"/>
  <c r="D10" i="6"/>
  <c r="D11" i="6"/>
  <c r="D12" i="6"/>
  <c r="D13" i="6"/>
  <c r="D14" i="6"/>
  <c r="D15" i="6"/>
  <c r="D16" i="6"/>
  <c r="D7" i="6"/>
  <c r="D2" i="6"/>
  <c r="D3" i="6"/>
  <c r="D4" i="6"/>
  <c r="D5" i="6"/>
  <c r="D6" i="6"/>
  <c r="D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<sst xmlns="http://schemas.openxmlformats.org/spreadsheetml/2006/main" count="2618" uniqueCount="842">
  <si>
    <t>https://xhamster18.desi/videos/nubile-films-seductive-games-of-passion-3267609</t>
  </si>
  <si>
    <t>https://www.pornhub.com/view_video.php?viewkey=ph5db33702d8ca6</t>
  </si>
  <si>
    <t>https://www.pornhub.com/view_video.php?viewkey=ph5c8abc4759f56</t>
  </si>
  <si>
    <t>https://www.pornhub.com/view_video.php?viewkey=ph594a57c3b95f0</t>
  </si>
  <si>
    <t>https://heavyfetish.com/videos/11455/dungeoncorp-sabrina-banks-introducing-his-demons-3/</t>
  </si>
  <si>
    <t>https://heavyfetish.com/videos/3425/dungeoncorp-helplessness/</t>
  </si>
  <si>
    <t>https://heavyfetish.com/videos/10706/dungeoncorp-l-a-noir-3/</t>
  </si>
  <si>
    <t>https://spankbang.party/4jmnt/video/whore+bdsm</t>
  </si>
  <si>
    <t>https://spankbang.com/73cu4/video/riley+reid+and+melissa+moore+hot+stepsisters</t>
  </si>
  <si>
    <t>https://netfapx.net/63721/</t>
  </si>
  <si>
    <t>https://pornzog</t>
  </si>
  <si>
    <t>https://heavyfetish.com/videos/2325/wired-pussy-annabelle-lee/</t>
  </si>
  <si>
    <t>https://heavyfetish.com/videos/6711/device-bondage-claire-adams-tricia-oaks/</t>
  </si>
  <si>
    <t>https://heavyfetish.com/videos/6660/device-bondage-amber-rayne3/</t>
  </si>
  <si>
    <t>https://heavyfetish.com/videos/16497/device-bondage-2010-10298-isislove-amberrayne-missjadeindica/</t>
  </si>
  <si>
    <t>https://heavyfetish.com/videos/6454/infernal-restraints-dakota-marr-wrong-house-pretzel/</t>
  </si>
  <si>
    <t>https://heavyfetish.com/videos/6476/infernal-restraints-sister-dee-the-fly/</t>
  </si>
  <si>
    <t>https://heavyfetish.com/videos/6345/infernal-restraints-katie-kush-crush/</t>
  </si>
  <si>
    <t>https://heavyfetish.com/videos/6128/hogtied-yhivi/</t>
  </si>
  <si>
    <t>https://heavyfetish.com/videos/6123/hogtied-lilith-luxe-first-timer-in-extreme-bondage/</t>
  </si>
  <si>
    <t>https://heavyfetish.com/videos/14079/wired-pussy-jade-indica-gets-spanked-and-shocked-in-hot-lesbian-bdsm-scene/</t>
  </si>
  <si>
    <t>https://heavyfetish.com/videos/3757/mad-av-tki-039-japanese-bondage/</t>
  </si>
  <si>
    <t>https://bdsmstreak.com/video/48920/hazel-hypnotic-part-4</t>
  </si>
  <si>
    <t>https://bdsmstreak.com/video/23089/ash-and-allie</t>
  </si>
  <si>
    <t>https://bdsmstreak.com/video/24386/cheerleader-and-dominant-brunette</t>
  </si>
  <si>
    <t>https://heavyfetish.com/videos/6104/hogtied-abella-danger-masochistic-pain-slut/</t>
  </si>
  <si>
    <t>https://heavyfetish.com/videos/3264/sex-and-submission-joslyn-james-ki-chodai/</t>
  </si>
  <si>
    <t>https://heavyfetish.com/videos/5882/hogtied-beretta-james-challenged-with-wanton-cruelty/</t>
  </si>
  <si>
    <t>https://heavyfetish.com/videos/6060/device-bondage-cherry-torn/</t>
  </si>
  <si>
    <t>https://bdsmstreak.com/video/36646/20010110-tyler-scot-insex</t>
  </si>
  <si>
    <t>https://bdsmstreak.com/video/78890/wenona-jessie-cox-and-isis-love-part-1-of-4-of-the-march-live-show</t>
  </si>
  <si>
    <t>https://bdsmvilla.com/video/57349/roses-are-red</t>
  </si>
  <si>
    <t>https://bdsmvilla.com/video/57429/device-bondage</t>
  </si>
  <si>
    <t>https://bdsmvilla.com/video/57392/queen-snake-splits</t>
  </si>
  <si>
    <t>https://heavyfetish.com/videos/6121/hogtied-charlotte-cross-2/</t>
  </si>
  <si>
    <t>https://heavyfetish.com/videos/6039/hogtied-kendra-james/</t>
  </si>
  <si>
    <t>https://bdsmstreak.com/video/30350/calico-lane-ice-pony-outdoors</t>
  </si>
  <si>
    <t>https://bdsmvilla.com/video/56996/jade-indica-oiled-fucked-bound-and-tortured-countdown-to-relaunch-5-of-20</t>
  </si>
  <si>
    <t>https://punishworld.com/132373-the-fetish-shop-story-thieves-deserves-cruel-punishment-black-sonja-and-chanel-rough-bondage-movie-the-full-movie/</t>
  </si>
  <si>
    <t>https://bdsmvilla.com/video/37545/lorelei-lee-dominating-remy-lacroix</t>
  </si>
  <si>
    <t>https://anyporn.com/332706/</t>
  </si>
  <si>
    <t>https://hcbdsm.com/video/sensi-pearl-on-wiredpussy-4323.html</t>
  </si>
  <si>
    <t>https://www.pornhub.com/view_video.php?viewkey=ph5c38abe2b6289</t>
  </si>
  <si>
    <t>https://spankbang.com/40xut/video/lesbian+mistress+bondage</t>
  </si>
  <si>
    <t>https://bdsmstreak.com/video/33432/lauren-phillips-and-ashley-lane-used-brutally-in-dungeon</t>
  </si>
  <si>
    <t>https://bdsmstreak.com/video/38493/sensi-pearl-in-devicebondage</t>
  </si>
  <si>
    <t>https://heavyfetish.com/videos/4452/hardtied-cherie-deville-deception/</t>
  </si>
  <si>
    <t>https://bdsmstreak.com/video/40784/wenona-gets-it-hard-once-again</t>
  </si>
  <si>
    <t>https://heavyfetish.com/videos/5214/insex-ridin-live-feed-from-july-wenona-az/</t>
  </si>
  <si>
    <t>https://heavyfetish.com/videos/4329/hardtied-wenona-glass-injection/</t>
  </si>
  <si>
    <t>https://bdsmvilla.com/video/34184/holly-michaels-suspension-and-domination</t>
  </si>
  <si>
    <t>https://bdsmvilla.com/video/32839/shocking-her-holes</t>
  </si>
  <si>
    <t>https://bdsmvilla.com/video/59525/cheyenne-jewel-punished-with-unwilling-orgasms-and-mean-metal-bondage</t>
  </si>
  <si>
    <t>https://bdsmvilla.com/video/56824</t>
  </si>
  <si>
    <t>https://bdsmvilla.com/video/63317</t>
  </si>
  <si>
    <t>https://bdsmvilla.com/video/56618/newcomer-loses-her-innocence</t>
  </si>
  <si>
    <t>https://bdsmvilla.com/video/38191</t>
  </si>
  <si>
    <t>https://bdsmvilla.com/video/63471/journalist-ash-hollywood-learns-what-is-means-to-be-nonbiased-through-electro-motivation</t>
  </si>
  <si>
    <t>https://bdsmvilla.com/video/57668</t>
  </si>
  <si>
    <t>https://bdsmvilla.com/video/58177/kelly-divine-stretched-fucked-flogged-and-squirting-everywhere-rosebud-exposed</t>
  </si>
  <si>
    <t>https://heavyfetish.com/videos/5377/insex-burning-bush-313/</t>
  </si>
  <si>
    <t>https://bdsmvilla.com/video/58028/electric-body-used-to-power-a-light-bulb-and-butt-plug</t>
  </si>
  <si>
    <t>https://bdsmstreak.com/video/86665/infernal-restraints-keira-croft-spa-day</t>
  </si>
  <si>
    <t>https://bdsmstreak.com/video/72017/welcome-mz-berlin-to-divine-bitches</t>
  </si>
  <si>
    <t>https://bdsmstreak.com/video/71809/two-beautiful-cock-sluts-entertain-the-sunday-brunch-crowd</t>
  </si>
  <si>
    <t>https://bdsmstreak.com/video/61034/piper-perri-gets-it-rough</t>
  </si>
  <si>
    <t>https://bdsmstreak.com/video/47891/piper-perri-and-phoenix-marie-submit</t>
  </si>
  <si>
    <t>http://punishworld.com/63164-mediaval-chambers/</t>
  </si>
  <si>
    <t>http://punishbang.com/videos/10254/shaved-pussy-blond-haired-has-to/</t>
  </si>
  <si>
    <t>http://punishbang.com/videos/17930/sweet-lady-with-huge-jugs-gets/</t>
  </si>
  <si>
    <t>https://bdsmvilla.com/video/62480/wild-anal-seductress</t>
  </si>
  <si>
    <t>https://heavyfetish.com/videos/24728/thetrainingofo-daisy-ducati-2/</t>
  </si>
  <si>
    <t>https://heavyfetish.com/videos/13011/queensnake-trampling-holly-qs-holly/</t>
  </si>
  <si>
    <t>https://tube.perverzija.com/hotandmean-riley-reid-ryan-reidim-gonna-fuck-you-up/</t>
  </si>
  <si>
    <t>https://tube.perverzija.com/whengirlsplay-riley-reid-and-jill-kassidy-lesbian-bed-death/</t>
  </si>
  <si>
    <t>https://tube.perverzija.com/studio/kink/</t>
  </si>
  <si>
    <t>https://bdsmstreak.com/video/74080/oops-she-did-it-again-prostate-milking</t>
  </si>
  <si>
    <t>-</t>
  </si>
  <si>
    <t>main_link</t>
  </si>
  <si>
    <t>website</t>
  </si>
  <si>
    <t>duration</t>
  </si>
  <si>
    <t>star_1</t>
  </si>
  <si>
    <t>star_2</t>
  </si>
  <si>
    <t>star_3</t>
  </si>
  <si>
    <t>studio</t>
  </si>
  <si>
    <t>language</t>
  </si>
  <si>
    <t>cat_1</t>
  </si>
  <si>
    <t>cat_2</t>
  </si>
  <si>
    <t>cat_3</t>
  </si>
  <si>
    <t>core_cat</t>
  </si>
  <si>
    <t>link</t>
  </si>
  <si>
    <t>english</t>
  </si>
  <si>
    <t>cat_4</t>
  </si>
  <si>
    <t>cat_5</t>
  </si>
  <si>
    <t>cat_6</t>
  </si>
  <si>
    <t>pegging</t>
  </si>
  <si>
    <t>pos_1</t>
  </si>
  <si>
    <t>pos_2</t>
  </si>
  <si>
    <t>pos_3</t>
  </si>
  <si>
    <t>general_tags</t>
  </si>
  <si>
    <t>vibrator</t>
  </si>
  <si>
    <t>oil</t>
  </si>
  <si>
    <t>nipple clamps</t>
  </si>
  <si>
    <t>bent</t>
  </si>
  <si>
    <t>rate</t>
  </si>
  <si>
    <t>tied together</t>
  </si>
  <si>
    <t>lesbian</t>
  </si>
  <si>
    <t>caning</t>
  </si>
  <si>
    <t>spit roast</t>
  </si>
  <si>
    <t>centipede</t>
  </si>
  <si>
    <t>sexually broken</t>
  </si>
  <si>
    <t>left alone</t>
  </si>
  <si>
    <t>fucking machine</t>
  </si>
  <si>
    <t>throatfucked spit roasted while rammed by fucking machine all while being oiled up and layed and restrained to a wooden X table</t>
  </si>
  <si>
    <t>roccosiffredi</t>
  </si>
  <si>
    <t>bdsm-soft-maledom</t>
  </si>
  <si>
    <t>bdsm-hard-maledom</t>
  </si>
  <si>
    <t>bdsm-hard-lesdom</t>
  </si>
  <si>
    <t>spanking</t>
  </si>
  <si>
    <t>pussy eating</t>
  </si>
  <si>
    <t>blowjob</t>
  </si>
  <si>
    <t>toe in pussy</t>
  </si>
  <si>
    <t>double 619</t>
  </si>
  <si>
    <t>head in toilet</t>
  </si>
  <si>
    <t>inverted ass fuck</t>
  </si>
  <si>
    <t>toilet</t>
  </si>
  <si>
    <t>ass up face down</t>
  </si>
  <si>
    <t>doggy</t>
  </si>
  <si>
    <t>missionary</t>
  </si>
  <si>
    <t>strapon</t>
  </si>
  <si>
    <t>feet eating at 23m,inverted ass fuck at 40m</t>
  </si>
  <si>
    <t>device bondage</t>
  </si>
  <si>
    <t>https://abxxx.com/video/367946/bdsm-session-with-janice-griffith/</t>
  </si>
  <si>
    <t>bite gag</t>
  </si>
  <si>
    <t>flogging</t>
  </si>
  <si>
    <t>rubber band toes</t>
  </si>
  <si>
    <t>spiked wheel</t>
  </si>
  <si>
    <t>m legs</t>
  </si>
  <si>
    <t>x vertical</t>
  </si>
  <si>
    <t>outdoor</t>
  </si>
  <si>
    <t>head mask</t>
  </si>
  <si>
    <t>stand on ice</t>
  </si>
  <si>
    <t>ice pussy</t>
  </si>
  <si>
    <t>anal hook</t>
  </si>
  <si>
    <t>bent froward</t>
  </si>
  <si>
    <t>tunnel gag</t>
  </si>
  <si>
    <t>tit slap</t>
  </si>
  <si>
    <t>insex</t>
  </si>
  <si>
    <t>hogtied</t>
  </si>
  <si>
    <t>nipple suction</t>
  </si>
  <si>
    <t>stand over rod</t>
  </si>
  <si>
    <t>nose insertion at 17m,stand over electric rod at 28m</t>
  </si>
  <si>
    <t>electric</t>
  </si>
  <si>
    <t>ball gag</t>
  </si>
  <si>
    <t>sitting split</t>
  </si>
  <si>
    <t>horizontal pretzel</t>
  </si>
  <si>
    <t>vertical pretzel</t>
  </si>
  <si>
    <t>inverted split</t>
  </si>
  <si>
    <t>nipple weights</t>
  </si>
  <si>
    <t>blindfold</t>
  </si>
  <si>
    <t>nipple string</t>
  </si>
  <si>
    <t>fingering</t>
  </si>
  <si>
    <t>blindfold at 12m,inverted nipple clamps at 39m</t>
  </si>
  <si>
    <t>hardtied</t>
  </si>
  <si>
    <t>kneeling bent back</t>
  </si>
  <si>
    <t>nipple sticks</t>
  </si>
  <si>
    <t>kneeling vertical</t>
  </si>
  <si>
    <t>piper perri</t>
  </si>
  <si>
    <t>hazel hypnotic</t>
  </si>
  <si>
    <t>arms up tied</t>
  </si>
  <si>
    <t>double 69</t>
  </si>
  <si>
    <t>lesbian fisting</t>
  </si>
  <si>
    <t>tongue clothespin</t>
  </si>
  <si>
    <t>body clothespin</t>
  </si>
  <si>
    <t>anal cum</t>
  </si>
  <si>
    <t>metal constraints</t>
  </si>
  <si>
    <t>inflatable gag</t>
  </si>
  <si>
    <t>kneeling down</t>
  </si>
  <si>
    <t>a legs standing</t>
  </si>
  <si>
    <t>shocking pussy</t>
  </si>
  <si>
    <t>wiregag</t>
  </si>
  <si>
    <t>helplessteens</t>
  </si>
  <si>
    <t>kidnapping</t>
  </si>
  <si>
    <t>tape gag</t>
  </si>
  <si>
    <t>vertical m legs</t>
  </si>
  <si>
    <t>joined legs up</t>
  </si>
  <si>
    <t>exhibitionism</t>
  </si>
  <si>
    <t>lesbian spanking</t>
  </si>
  <si>
    <t>lay down</t>
  </si>
  <si>
    <t>chain in pussy and ass</t>
  </si>
  <si>
    <t>divine bitches</t>
  </si>
  <si>
    <t>mz berlin</t>
  </si>
  <si>
    <t>bdsm-hard-femdom</t>
  </si>
  <si>
    <t>humbler</t>
  </si>
  <si>
    <t>cigg</t>
  </si>
  <si>
    <t>face sitting</t>
  </si>
  <si>
    <t>electric glass butt plug</t>
  </si>
  <si>
    <t>heavy ball drag at 40m,electric glass butt plug at 51m</t>
  </si>
  <si>
    <t>feet on dick</t>
  </si>
  <si>
    <t>seperated legs up</t>
  </si>
  <si>
    <t>hot wax</t>
  </si>
  <si>
    <t>heels worship</t>
  </si>
  <si>
    <t>https://www.pornhits.com/video/30157/super-flexible-sensi-pearl-gets-tied-up-and-fucked/</t>
  </si>
  <si>
    <t>public disgrace</t>
  </si>
  <si>
    <t>face down horizontal split</t>
  </si>
  <si>
    <t>kneeling down vertical</t>
  </si>
  <si>
    <t>water pouring</t>
  </si>
  <si>
    <t>humiliation</t>
  </si>
  <si>
    <t>public indoors</t>
  </si>
  <si>
    <t>https://www.pornhits.com/video/26315/brat-princess-cuckoldress-with-chastity-lynn/</t>
  </si>
  <si>
    <t>chastity lynn</t>
  </si>
  <si>
    <t>spitting</t>
  </si>
  <si>
    <t>cuck</t>
  </si>
  <si>
    <t>N</t>
  </si>
  <si>
    <t>works</t>
  </si>
  <si>
    <t>wenona</t>
  </si>
  <si>
    <t>jessie cox</t>
  </si>
  <si>
    <t>isis love</t>
  </si>
  <si>
    <t>suspended split</t>
  </si>
  <si>
    <t>https://bdsmstreak.com/video/44559/nikki-darling-in-public-disgrace</t>
  </si>
  <si>
    <t>lay below suspended split at 23m,mouth held in pussy at 28m,after suction the nipple clamps are again applied with a string to stretch them at 42m</t>
  </si>
  <si>
    <t>nikki darling</t>
  </si>
  <si>
    <t>https://heavyfetish.com/videos/4201/queensnake-scorched-jessica/</t>
  </si>
  <si>
    <t>https://heavyfetish.com/videos/2807/infernal-restraints-curious-elise-bonus/</t>
  </si>
  <si>
    <t>https://heavyfetish.com/videos/12957/queensnake-long-march-jessica-jessica-tanita/</t>
  </si>
  <si>
    <t>jessica</t>
  </si>
  <si>
    <t>tanita</t>
  </si>
  <si>
    <t>queensnake</t>
  </si>
  <si>
    <t>spread eagle</t>
  </si>
  <si>
    <t>pantyhose</t>
  </si>
  <si>
    <t>cigg burns on pantyhose to burn it off</t>
  </si>
  <si>
    <t>dildo plug</t>
  </si>
  <si>
    <t>leg up standing</t>
  </si>
  <si>
    <t>spanish</t>
  </si>
  <si>
    <t>pussy fisting</t>
  </si>
  <si>
    <t>infernal restraints</t>
  </si>
  <si>
    <t>elise graves</t>
  </si>
  <si>
    <t>tied to bed</t>
  </si>
  <si>
    <t>gas mask</t>
  </si>
  <si>
    <t>piss</t>
  </si>
  <si>
    <t>head in toilet at 23m,inverted ass fuck at 31m,double 619 at 40m,locked bj with leash at 44m</t>
  </si>
  <si>
    <t>flogging at 18m,nipple mousetrap at 34m,spike wheel on pussy at 35m</t>
  </si>
  <si>
    <t>standing on ice,eating worms,flogged with anal hook</t>
  </si>
  <si>
    <t>both are tied together,locked in an inverted figure tie down at 15m,a centipede style spit roast on dildos at 16m,a mouth to ass plug put them together at 24m</t>
  </si>
  <si>
    <t>pick up and fuck at 35m,blindfold cunnilingus at 28m,pussy on pussy at 56m,ass to mouth and dick to ass at 1hr18m</t>
  </si>
  <si>
    <t>inflatable gag in pussy at 8m,manual vertical fucking machine at 24m,vertical showing pussy at 27m</t>
  </si>
  <si>
    <t>parking lot at 11m,picked up cunnilingus at 12m</t>
  </si>
  <si>
    <t>bent over at 25m,chain inside pussy and ass at  41m</t>
  </si>
  <si>
    <t>clothespin on dick with string at 13m,panty on face at 33m</t>
  </si>
  <si>
    <t>little amount of lube,cheering of the crowd,objectified</t>
  </si>
  <si>
    <t>panty inside mouth at 13m,grinding on cage with pussyat 23m</t>
  </si>
  <si>
    <t>bar club sex,blowjobs,rope harness</t>
  </si>
  <si>
    <t>tongue tie at 6mm,piss on face at 8m,pussy inhaling at 11m,self inhaling at 13m,piss inhaling at 16m,pussy flogging at 19m</t>
  </si>
  <si>
    <t>asphyxiation</t>
  </si>
  <si>
    <t>tightrope</t>
  </si>
  <si>
    <t>crotch rope walk</t>
  </si>
  <si>
    <t>crotch chain walk</t>
  </si>
  <si>
    <t>candle crotch walk at 12m,hot sauce chain walk at 16m</t>
  </si>
  <si>
    <t>hot sauce lathering</t>
  </si>
  <si>
    <t>whip</t>
  </si>
  <si>
    <t>everything butt</t>
  </si>
  <si>
    <t>whipped ass</t>
  </si>
  <si>
    <t>real time bondage</t>
  </si>
  <si>
    <t>https://pornxp.com/videos/313080681680</t>
  </si>
  <si>
    <t>fisting</t>
  </si>
  <si>
    <t>panty inside asshole at 9m,dildo on face for facing sitting at 43m</t>
  </si>
  <si>
    <t>anal</t>
  </si>
  <si>
    <t>https://heavyfetish.com/videos/15887/theenglishmansion-leather-mistress-milking/</t>
  </si>
  <si>
    <t>the english mansion</t>
  </si>
  <si>
    <t>leather mistress</t>
  </si>
  <si>
    <t>leather</t>
  </si>
  <si>
    <t>mummy</t>
  </si>
  <si>
    <t>cock ring</t>
  </si>
  <si>
    <t>handjob</t>
  </si>
  <si>
    <t>cum eating</t>
  </si>
  <si>
    <t>https://heavyfetish.com/videos/29926/lew-rubens-alpha-productions-michelle-drea-liplocked/</t>
  </si>
  <si>
    <t>michelle</t>
  </si>
  <si>
    <t>drea</t>
  </si>
  <si>
    <t>liplocker gag</t>
  </si>
  <si>
    <t>stand</t>
  </si>
  <si>
    <t>https://bdsmstreak.com/video/93787/petite-slut-serena-blair-punished-and-made-to-cum-in-metal-bondage</t>
  </si>
  <si>
    <t>https://heavyfetish.com/videos/1882/toilet-brush-cunt-scrubbing-with-queensnake-s-sexual-history-maybe-not-such-a-bad-idea/</t>
  </si>
  <si>
    <t>https://heavyfetish.com/videos/10191/device-bondage-isis-love-sensi-pearl/</t>
  </si>
  <si>
    <t>https://heavyfetish.com/videos/10195/device-bondage-isis-love-sensi-pearl-1/</t>
  </si>
  <si>
    <t>https://m.hqporner.com/hdporn/109717-no_mercy_under_heavy_submission.html</t>
  </si>
  <si>
    <t>https://m.hqporner.com/hdporn/110221-a_ruthless_work_environment.html</t>
  </si>
  <si>
    <t>https://m.hqporner.com/hdporn/111874-pain_does_get_her_going_further.html</t>
  </si>
  <si>
    <t>https://m.hqporner.com/hdporn/112039-behave_or_the_fist_goes_elbow_deep.html</t>
  </si>
  <si>
    <t>https://m.hqporner.com/hdporn/81716-squirt_alert_device_bondage.html</t>
  </si>
  <si>
    <t>https://spankbang.com/s/seviliyager/</t>
  </si>
  <si>
    <t>seviliyager</t>
  </si>
  <si>
    <t>solo-masturbation</t>
  </si>
  <si>
    <t>orgasm</t>
  </si>
  <si>
    <t>ice</t>
  </si>
  <si>
    <t>oiled up petite woman,solo on cam,hookah,ice on body,page link has several videos</t>
  </si>
  <si>
    <t>https://www.peekvids.com/v/fucking-wet-beer-festival-with-selvaggia-balls-petite-body-deep-anal-dap-gapes-pee-drink-swallow-gio953/jg8TS9EN00M</t>
  </si>
  <si>
    <t>https://txxx.com/videos/7804264/alex-and-jay-bondage-with-bonnie/</t>
  </si>
  <si>
    <t>https://heavyfetish.com/videos/86573/tall-blonde-amateur-gets-fucked-while-wearing-blackout-contact-lenses/</t>
  </si>
  <si>
    <t>https://heavyfetish.com/videos/13380/sex-and-submission-feeding-the-gimp/</t>
  </si>
  <si>
    <t>https://bdsmstreak.com/video/53949/sasha-sparks-and-lacie-hart?jwsource=cl</t>
  </si>
  <si>
    <t>https://bdsmstreak.com/video/74984/melody-marks</t>
  </si>
  <si>
    <t>https://spankbang.com/9j37f/video/melody+marks+to+watch+a+predator</t>
  </si>
  <si>
    <t>https://txxx.me/videos/16561915/hegre-art-kiki-volcano-orgasm-massage/?promo=23513</t>
  </si>
  <si>
    <t>https://txxx.com/videos/4916899/mark-davis-princess-donna-dolore-in-princess-of-kink-sexandsubmission/</t>
  </si>
  <si>
    <t>https://heavyfetish.com/videos/9483/device-bondage-lily-2/</t>
  </si>
  <si>
    <t>https://curebdsm.com/filling-the-void</t>
  </si>
  <si>
    <t>https://curebdsm.com/stars/Lily%20LaBeau</t>
  </si>
  <si>
    <t>https://curebdsm.com/search?q=katie+kush</t>
  </si>
  <si>
    <t>https://heavyfetish.com/videos/11290/dungeoncorp-katie-kush-bondage-freak-1/</t>
  </si>
  <si>
    <t>https://www.tnaflix.com/anal-porn/Riley-Reid-Paige-Owens-Anal-Threesome/video6077551</t>
  </si>
  <si>
    <t>https://www.omg.xxx/videos/93789405/epic-anal-casey-calvert-dominates-tommy-king/</t>
  </si>
  <si>
    <t>https://curebdsm.com/super-slut</t>
  </si>
  <si>
    <t>https://www.tnaflix.com/anal-porn/Emily-Willis-Drenched-In-Oil-Anally-Drilled-EvilAngel/video4055707</t>
  </si>
  <si>
    <t>https://pornxp.com/videos/75763482924</t>
  </si>
  <si>
    <t>https://pornxp.com/tags/InnocentHigh</t>
  </si>
  <si>
    <t>https://www.porndead.org/video/ph6064cff14a9ce</t>
  </si>
  <si>
    <t>https://pornxp.com/videos/106369411584</t>
  </si>
  <si>
    <t>https://spankbang.com/5p9k8/video/rope+walk</t>
  </si>
  <si>
    <t>https://heavyfetish.com/videos/59166/zipped/</t>
  </si>
  <si>
    <t>dildo in mouth locked at 25</t>
  </si>
  <si>
    <t>sex and submission</t>
  </si>
  <si>
    <t>donna dolore</t>
  </si>
  <si>
    <t>suspended fetal</t>
  </si>
  <si>
    <t>pussy biting at 2m</t>
  </si>
  <si>
    <t>hard tied girls</t>
  </si>
  <si>
    <t>maddy o'reilly</t>
  </si>
  <si>
    <t>tiger balm</t>
  </si>
  <si>
    <t>fondling</t>
  </si>
  <si>
    <t>blindfolded guy,</t>
  </si>
  <si>
    <t xml:space="preserve">sitting </t>
  </si>
  <si>
    <t>evil angel</t>
  </si>
  <si>
    <t>emily willis</t>
  </si>
  <si>
    <t>on knees</t>
  </si>
  <si>
    <t>top doggy</t>
  </si>
  <si>
    <t>choking</t>
  </si>
  <si>
    <t>slapping</t>
  </si>
  <si>
    <t>fill ass with lube at 7m</t>
  </si>
  <si>
    <t>bangbros</t>
  </si>
  <si>
    <t>pick up and eat pussy at 1m, 619 at 1m,stand up fuck at 10m</t>
  </si>
  <si>
    <t>gangbang</t>
  </si>
  <si>
    <t>bukkake</t>
  </si>
  <si>
    <t>stripping</t>
  </si>
  <si>
    <t>strip pole</t>
  </si>
  <si>
    <t>dog fart network</t>
  </si>
  <si>
    <t>bbc</t>
  </si>
  <si>
    <t>basic stripping and blowjobs</t>
  </si>
  <si>
    <t>sabrina banks</t>
  </si>
  <si>
    <t>katie kush</t>
  </si>
  <si>
    <t>dungeon corp</t>
  </si>
  <si>
    <t>deepthroat while nipple sucking at 3m</t>
  </si>
  <si>
    <t>stomach laydown</t>
  </si>
  <si>
    <t>similar to the melody marks dungeon corp bdsm</t>
  </si>
  <si>
    <t>la noir</t>
  </si>
  <si>
    <t>dildo stick</t>
  </si>
  <si>
    <t>floggin at 4m,biting back at 5m,anal hook at 17m</t>
  </si>
  <si>
    <t>stapler</t>
  </si>
  <si>
    <t>nipples zipped at 1m,pussy zipped at 9m</t>
  </si>
  <si>
    <t>arms up against wall</t>
  </si>
  <si>
    <t>arms up against wall flogging at 11m</t>
  </si>
  <si>
    <t>lesbian strapon pretzel</t>
  </si>
  <si>
    <t>pussy fisting at 18m</t>
  </si>
  <si>
    <t>team skeet</t>
  </si>
  <si>
    <t>inverted</t>
  </si>
  <si>
    <t>one leg up fucking at 18m,side fuck at 19m,inverted at 21m</t>
  </si>
  <si>
    <t>when girls play</t>
  </si>
  <si>
    <t>riley reid</t>
  </si>
  <si>
    <t>jill kassidy</t>
  </si>
  <si>
    <t>normal-rough-cis</t>
  </si>
  <si>
    <t>normal-sensual-cis</t>
  </si>
  <si>
    <t>bdsm</t>
  </si>
  <si>
    <t>soft</t>
  </si>
  <si>
    <t>hard</t>
  </si>
  <si>
    <t>maledom</t>
  </si>
  <si>
    <t>femdom</t>
  </si>
  <si>
    <t>lesdom</t>
  </si>
  <si>
    <t>normal</t>
  </si>
  <si>
    <t>rough</t>
  </si>
  <si>
    <t>sensual</t>
  </si>
  <si>
    <t>cis</t>
  </si>
  <si>
    <t>face sitting at 14m,69 at 15m</t>
  </si>
  <si>
    <t>scissoring</t>
  </si>
  <si>
    <t>pussy grinding</t>
  </si>
  <si>
    <t>normal-sensual-lesbian</t>
  </si>
  <si>
    <t>shot her first</t>
  </si>
  <si>
    <t>melody marks</t>
  </si>
  <si>
    <t>tit job at 12m,oiled footjob at 14m</t>
  </si>
  <si>
    <t>footjob</t>
  </si>
  <si>
    <t>cowgirl</t>
  </si>
  <si>
    <t>facial</t>
  </si>
  <si>
    <t>piv</t>
  </si>
  <si>
    <t>hegre</t>
  </si>
  <si>
    <t>elle d</t>
  </si>
  <si>
    <t>massage</t>
  </si>
  <si>
    <t>holly</t>
  </si>
  <si>
    <t>pretzel</t>
  </si>
  <si>
    <t>lot of close up shots of oiled skin,fit girl abs</t>
  </si>
  <si>
    <t>fit girl</t>
  </si>
  <si>
    <t>trampling</t>
  </si>
  <si>
    <t>high heel</t>
  </si>
  <si>
    <t>sandal trampling at 5m,high heel trampling at 8m,high heels in nipples at 9m,high heel in pussy at 17m</t>
  </si>
  <si>
    <t>feet</t>
  </si>
  <si>
    <t>lily labeau</t>
  </si>
  <si>
    <t>rubber band feet</t>
  </si>
  <si>
    <t>metal bondage of holding up the ass over the head in a flat position</t>
  </si>
  <si>
    <t>ryan reid</t>
  </si>
  <si>
    <t>brazzers</t>
  </si>
  <si>
    <t>leashed at 2m,boot licking at 4m,face sitting and fondling at 12m,inverted at 20m</t>
  </si>
  <si>
    <t>nipple sucking</t>
  </si>
  <si>
    <t>presley dawson</t>
  </si>
  <si>
    <t>side fuck few times, petite model and accurate to high school girl</t>
  </si>
  <si>
    <t>pinned</t>
  </si>
  <si>
    <t>undressing</t>
  </si>
  <si>
    <t>hard x</t>
  </si>
  <si>
    <t>elena koshka</t>
  </si>
  <si>
    <t>full nelson</t>
  </si>
  <si>
    <t>reverse cowgirl</t>
  </si>
  <si>
    <t>inverted at 24m,pretzel at 32m</t>
  </si>
  <si>
    <t>creampie</t>
  </si>
  <si>
    <t>dakota marr</t>
  </si>
  <si>
    <t>inverted bent</t>
  </si>
  <si>
    <t>inverted head lock at 2m,bead stick in ass at 7m,extreme pretzel at 9m,weird yoga pose at 21m</t>
  </si>
  <si>
    <t>tushy</t>
  </si>
  <si>
    <t>paige full nelson at 12m,riley full nelson at 21m,riley pretzel at 24m</t>
  </si>
  <si>
    <t>squirt</t>
  </si>
  <si>
    <t>girlsway</t>
  </si>
  <si>
    <t>melissa moore</t>
  </si>
  <si>
    <t>lacie hart</t>
  </si>
  <si>
    <t>inverted pussy eating at 22m</t>
  </si>
  <si>
    <t>serena blair</t>
  </si>
  <si>
    <t>vertical pillory</t>
  </si>
  <si>
    <t>funnel gag</t>
  </si>
  <si>
    <t>lay down legs up</t>
  </si>
  <si>
    <t>lay down legs to side</t>
  </si>
  <si>
    <t>feet torture at 30m</t>
  </si>
  <si>
    <t>nanny spy</t>
  </si>
  <si>
    <t>also hits cowgirl and reverse cowgirl but not for long time</t>
  </si>
  <si>
    <t>sasha sparks</t>
  </si>
  <si>
    <t>standing</t>
  </si>
  <si>
    <t>nipple pinching at 4m,crotch rope held by weights at 9m,contraption to control weight of rope at 19m</t>
  </si>
  <si>
    <t>crotch rope</t>
  </si>
  <si>
    <t>hard tied</t>
  </si>
  <si>
    <t>cherie deville</t>
  </si>
  <si>
    <t>tits tied hard at 15m,made to suck dildo and locked at 30m,anal hook at 35m</t>
  </si>
  <si>
    <t>the upper floor</t>
  </si>
  <si>
    <t>nubile films</t>
  </si>
  <si>
    <t>syren de mer</t>
  </si>
  <si>
    <t>sensi pearl</t>
  </si>
  <si>
    <t>lauren phillps</t>
  </si>
  <si>
    <t>janice griffith</t>
  </si>
  <si>
    <t>ash</t>
  </si>
  <si>
    <t>tyler scott</t>
  </si>
  <si>
    <t>madeline marlowe</t>
  </si>
  <si>
    <t>chanel preston</t>
  </si>
  <si>
    <t>belle noir</t>
  </si>
  <si>
    <t>casey calvert</t>
  </si>
  <si>
    <t>calico lane</t>
  </si>
  <si>
    <t>ashley lane</t>
  </si>
  <si>
    <t>allie</t>
  </si>
  <si>
    <t xml:space="preserve">cherie deville </t>
  </si>
  <si>
    <t>bonnie day</t>
  </si>
  <si>
    <t>katja kassin</t>
  </si>
  <si>
    <t>phoenix marie</t>
  </si>
  <si>
    <t>sister dee</t>
  </si>
  <si>
    <t>open mouth gag</t>
  </si>
  <si>
    <t>nose hook</t>
  </si>
  <si>
    <t>burried</t>
  </si>
  <si>
    <t>chastity belt</t>
  </si>
  <si>
    <t>spreader bar</t>
  </si>
  <si>
    <t>sticks up the nose at 2m,hair in mouth at 5m,spreader bar on legs at  31m</t>
  </si>
  <si>
    <t>suffocation</t>
  </si>
  <si>
    <t>teen fidelity</t>
  </si>
  <si>
    <t>1f-2m</t>
  </si>
  <si>
    <t>typical scene double team,hardcore movements</t>
  </si>
  <si>
    <t>alex</t>
  </si>
  <si>
    <t>bdsm-soft-lesdom</t>
  </si>
  <si>
    <t>bonnie</t>
  </si>
  <si>
    <t>wax at 20m,chained legs at 24m</t>
  </si>
  <si>
    <t>butt plug</t>
  </si>
  <si>
    <t>wheel barrow</t>
  </si>
  <si>
    <t>strapon blowjob at 12m</t>
  </si>
  <si>
    <t>needles</t>
  </si>
  <si>
    <t>sybian</t>
  </si>
  <si>
    <t xml:space="preserve">strapon </t>
  </si>
  <si>
    <t>kendra james</t>
  </si>
  <si>
    <t>nipple clothespin</t>
  </si>
  <si>
    <t>panty gag</t>
  </si>
  <si>
    <t>wooden horse</t>
  </si>
  <si>
    <t>dildo stick vibrator</t>
  </si>
  <si>
    <t>rope is tightly held around the crotch at 10m</t>
  </si>
  <si>
    <t>inverted hogtied</t>
  </si>
  <si>
    <t>tits pulling at 9m,one leg pulling up at 10m,step on tits at 29m</t>
  </si>
  <si>
    <t>stepping</t>
  </si>
  <si>
    <t>suspended</t>
  </si>
  <si>
    <t>kink</t>
  </si>
  <si>
    <t>joslyn james</t>
  </si>
  <si>
    <t>pussy lips held open at 16m,electro dildo in pussy at 17m</t>
  </si>
  <si>
    <t>llela</t>
  </si>
  <si>
    <t>arms up split</t>
  </si>
  <si>
    <t>shaving</t>
  </si>
  <si>
    <t>pussy clamps</t>
  </si>
  <si>
    <t>pussy hair pulled by a weighted rope at 12m,feeding pussy hair at 24m,panty gag at 44m,inflating dildo inside pussy at 33m</t>
  </si>
  <si>
    <t>cherry torn</t>
  </si>
  <si>
    <t>undressing struggle,flogging at 19m,nipple clamp chain in mouth at 25m,shocking pussy at 27m</t>
  </si>
  <si>
    <t>toilet brush</t>
  </si>
  <si>
    <t>ass up face up</t>
  </si>
  <si>
    <t>one bar prison</t>
  </si>
  <si>
    <t>split</t>
  </si>
  <si>
    <t>carter cruise</t>
  </si>
  <si>
    <t>69 at 5m,feet licking at 16m</t>
  </si>
  <si>
    <t>foursome</t>
  </si>
  <si>
    <t>lay down face down</t>
  </si>
  <si>
    <t>nipples binder clips</t>
  </si>
  <si>
    <t>clit suction</t>
  </si>
  <si>
    <t>tits suction cups</t>
  </si>
  <si>
    <t>fondling at 4m,hand spanking at 4m,tit flogging at 5m,ass flogging at 14m,nipple binder clips tied to toes at 32m,vibrator and flogging and blindfold at 45m</t>
  </si>
  <si>
    <t>stevie moon</t>
  </si>
  <si>
    <t>lily thot</t>
  </si>
  <si>
    <t>ass eating</t>
  </si>
  <si>
    <t>fingers in ass at 10m,glass dildo at 31m</t>
  </si>
  <si>
    <t>anal fingering</t>
  </si>
  <si>
    <t>kissing</t>
  </si>
  <si>
    <t>toilet brush on chain at 5m</t>
  </si>
  <si>
    <t>sia lust</t>
  </si>
  <si>
    <t>wax</t>
  </si>
  <si>
    <t>pretzel at 15m,vibrator insider pussy at 19m,nipple pulling and tickling at 31m,wax at 34m, m legs fingering</t>
  </si>
  <si>
    <t>wired pussy</t>
  </si>
  <si>
    <t>lay on side one leg up</t>
  </si>
  <si>
    <t>shocking feet at 13m,lesdom strapon at 35m</t>
  </si>
  <si>
    <t>abella danger</t>
  </si>
  <si>
    <t>tied to a chair at 5m</t>
  </si>
  <si>
    <t>bent suspended</t>
  </si>
  <si>
    <t>amy brooke</t>
  </si>
  <si>
    <t>bent on wheel</t>
  </si>
  <si>
    <t>enema</t>
  </si>
  <si>
    <t>undressing at 3m,enema at 41m,ruthless flogging while on crotch chain</t>
  </si>
  <si>
    <t>a shape</t>
  </si>
  <si>
    <t>same series as melody marks in dungeon corps</t>
  </si>
  <si>
    <t>https://pervtube.net/divinebitches-ashley-fires-educating-a-bitchboy-episode-2/</t>
  </si>
  <si>
    <t>ashley fires</t>
  </si>
  <si>
    <t>lolipop plug</t>
  </si>
  <si>
    <t>femdom service</t>
  </si>
  <si>
    <t>yhivi</t>
  </si>
  <si>
    <t>pussy biting</t>
  </si>
  <si>
    <t>nipple pinching</t>
  </si>
  <si>
    <t>undressing struggle, laying down on side,69 at 9m,high heels in ass at 11m,enema at 42m</t>
  </si>
  <si>
    <t>rope gag</t>
  </si>
  <si>
    <t>chair</t>
  </si>
  <si>
    <t>standing one leg up</t>
  </si>
  <si>
    <t>inverted on chair</t>
  </si>
  <si>
    <t>suspended fetal upside down,abusive orgasms</t>
  </si>
  <si>
    <t>suspended face down</t>
  </si>
  <si>
    <t xml:space="preserve">pussy hair pulling </t>
  </si>
  <si>
    <t>fondling at 9m,pussy hair pulling at 30m</t>
  </si>
  <si>
    <t>straight jacket</t>
  </si>
  <si>
    <t>sensory deprivation</t>
  </si>
  <si>
    <t>dildo stick in mouth at 53,pussy slapping at 59m</t>
  </si>
  <si>
    <t>remote control</t>
  </si>
  <si>
    <t>anal beads</t>
  </si>
  <si>
    <t>lay down legs side</t>
  </si>
  <si>
    <t>lay down face up</t>
  </si>
  <si>
    <t>slave and mistress,electro anal plug,remote controll vibrator</t>
  </si>
  <si>
    <t>amber rayne</t>
  </si>
  <si>
    <t>missionary suspended</t>
  </si>
  <si>
    <t>lay down diamond</t>
  </si>
  <si>
    <t>pussy hook</t>
  </si>
  <si>
    <t>spreader bar on hands,hand spanking at 6m,pussy clamps at 10m,tit slap and caning at 18m,body clamps at 20m,anal hook in pussy at 33m</t>
  </si>
  <si>
    <t xml:space="preserve">dildo stick </t>
  </si>
  <si>
    <t>crotch walk with knots</t>
  </si>
  <si>
    <t>aiden ashley</t>
  </si>
  <si>
    <t>ass up face up legs joined</t>
  </si>
  <si>
    <t>wax at 34m,pretzel is half way</t>
  </si>
  <si>
    <t>pretzel vertical</t>
  </si>
  <si>
    <t>tit pull</t>
  </si>
  <si>
    <t>tit spanking at 9m,nipple clamps weighed down at 11m,vertical pretzel at 18m,step on tits at 34m,tit pull at 35m,</t>
  </si>
  <si>
    <t>annabelle lee</t>
  </si>
  <si>
    <t>tommy king</t>
  </si>
  <si>
    <t>tricia oaks</t>
  </si>
  <si>
    <t>shocking cane at 8m,tit pull and slap at 10m, panties in mouth at 10m,oil at 18m,electric steel plug and hook at 19m,nipple sticks at 42m</t>
  </si>
  <si>
    <t>the training of o</t>
  </si>
  <si>
    <t>daisy ducati</t>
  </si>
  <si>
    <t>nipple clamps at 4m</t>
  </si>
  <si>
    <t>pussy slap</t>
  </si>
  <si>
    <t>missionary legs up</t>
  </si>
  <si>
    <t>claire adams</t>
  </si>
  <si>
    <t>right angle</t>
  </si>
  <si>
    <t>butt plug at 12m,pretzel at 22m,fishnets at 39m</t>
  </si>
  <si>
    <t>shocking</t>
  </si>
  <si>
    <t>tit flogging at 9m,nipple clamps at 10m,water boarding at 25m</t>
  </si>
  <si>
    <t>water boarding</t>
  </si>
  <si>
    <t>kara price</t>
  </si>
  <si>
    <t>jade indica</t>
  </si>
  <si>
    <t>spanking at 5m,steel plug anal at 10m,flogging at 22m</t>
  </si>
  <si>
    <t>lilith luxe</t>
  </si>
  <si>
    <t>beretta james</t>
  </si>
  <si>
    <t>cloth cutting at 8m,tit slap at 8m,nipples clamps at 12m,wax on back at 29m,fingering at 41m,missionary with flogging at 42m</t>
  </si>
  <si>
    <t>pussy clamps at 8m,cloth cutting at 8m,stomach hitting and pressing at 11m,ass up caning at 24m,inverted flogging at 36m</t>
  </si>
  <si>
    <t>legalporno</t>
  </si>
  <si>
    <t>piss drinking</t>
  </si>
  <si>
    <t>double penetration</t>
  </si>
  <si>
    <t>piss drinking at 15m,inverted sofa at 54m</t>
  </si>
  <si>
    <t>inverted sofa</t>
  </si>
  <si>
    <t xml:space="preserve">nikki daniels </t>
  </si>
  <si>
    <t>selvaggia balls</t>
  </si>
  <si>
    <t>kicking at 5m,spanking at 10m,cloth cutting at 16m,nipple clamps at 16m,cream on pussy at 30m</t>
  </si>
  <si>
    <t>split face down suspended</t>
  </si>
  <si>
    <t>teacher-student</t>
  </si>
  <si>
    <t>petite</t>
  </si>
  <si>
    <t>plaid</t>
  </si>
  <si>
    <t>several innocent high videos of length from 20 to 50 mins</t>
  </si>
  <si>
    <t>zstar</t>
  </si>
  <si>
    <t>kink.com</t>
  </si>
  <si>
    <t>several full length kink.com videos with good quality and loading,mix of lesdom and maledom</t>
  </si>
  <si>
    <t>oiled</t>
  </si>
  <si>
    <t>flagged suspicious,doesn’t load well, katie kush full length bdsm videos</t>
  </si>
  <si>
    <t>wheel</t>
  </si>
  <si>
    <t>lily's full length bdsm videos but smaller collection and not very exciting</t>
  </si>
  <si>
    <t>lot of long length videos across several categories</t>
  </si>
  <si>
    <t>charlotte cross</t>
  </si>
  <si>
    <t>flag</t>
  </si>
  <si>
    <t>general videos mainly for random cases, not big studios</t>
  </si>
  <si>
    <t>canning at 10m,flogging at 15m,flexible pipe flogging at 19m,shaving at 20m,rope on pussy at 24m,spanking at 42m, water boarding at 45m</t>
  </si>
  <si>
    <t>hardcore gangbang</t>
  </si>
  <si>
    <t>ava addams</t>
  </si>
  <si>
    <t>stripping at 18m</t>
  </si>
  <si>
    <t>cnc</t>
  </si>
  <si>
    <t>wall fuck</t>
  </si>
  <si>
    <t>over table</t>
  </si>
  <si>
    <t>dp</t>
  </si>
  <si>
    <t>duct tape</t>
  </si>
  <si>
    <t>keira croft</t>
  </si>
  <si>
    <t>crucified</t>
  </si>
  <si>
    <t>https://heavyfetish.com/videos/101159/kink-avery-black-sex-and-submission/</t>
  </si>
  <si>
    <t>whipping</t>
  </si>
  <si>
    <t>under net</t>
  </si>
  <si>
    <t>sensual stripping at 3m,bite gag at 4m,whipping at 19m,under a metal net at 58m</t>
  </si>
  <si>
    <t>pussy plugged</t>
  </si>
  <si>
    <t>avera black</t>
  </si>
  <si>
    <t>abduction</t>
  </si>
  <si>
    <t>frog</t>
  </si>
  <si>
    <t>inverted face fuck</t>
  </si>
  <si>
    <t>kneel down frog</t>
  </si>
  <si>
    <t>abduction at 16m,dick smell at 22m,tit and pussy flogging at 24m, throat fisting at 28m,ass spank at 30m,pretzel at 58m,kneel down frog flogging at 60m, very natural actors</t>
  </si>
  <si>
    <t>natasha lyn</t>
  </si>
  <si>
    <t>blackout contacts</t>
  </si>
  <si>
    <t>cuffs and blackout contacts preping at 4m,undressing at 9m,tongue slap at 40m,taser in ass at 57m,nipple clamps at 65m</t>
  </si>
  <si>
    <t>drinking game</t>
  </si>
  <si>
    <t>2f</t>
  </si>
  <si>
    <t>cage</t>
  </si>
  <si>
    <t>preping at 9m,ass flogging at 17m, legs up tied to wall at 30m</t>
  </si>
  <si>
    <t>hitachi</t>
  </si>
  <si>
    <t>metal bondage</t>
  </si>
  <si>
    <t>against wall</t>
  </si>
  <si>
    <t>inside cage</t>
  </si>
  <si>
    <t>https://punishworld.com/76277-whipping-6728465-3276-44362/</t>
  </si>
  <si>
    <t>switchdom</t>
  </si>
  <si>
    <t>pillory</t>
  </si>
  <si>
    <t>bent backward</t>
  </si>
  <si>
    <t>wodden horse</t>
  </si>
  <si>
    <t>pussy slapping at 0m,flogging femdom at 25m,wax at 42m,flame on ass at 43m,bent at 52m,wooden horse at 88m</t>
  </si>
  <si>
    <t>flame</t>
  </si>
  <si>
    <t>fetish shop story</t>
  </si>
  <si>
    <t>leslie taylor</t>
  </si>
  <si>
    <t>cut panties at 12m,candle in pussy at 24m,pussy suction at 28m,spike wheel at 51m</t>
  </si>
  <si>
    <t>spike wheel</t>
  </si>
  <si>
    <t>suspended sitting</t>
  </si>
  <si>
    <t>chinese</t>
  </si>
  <si>
    <t>game</t>
  </si>
  <si>
    <t>mental torture</t>
  </si>
  <si>
    <t>legs up joined</t>
  </si>
  <si>
    <t>wheel of pain game at 4m,back whip at 5m,pussy whipping at 10m,ass whipping at 19m</t>
  </si>
  <si>
    <t>jav</t>
  </si>
  <si>
    <t>thzbt</t>
  </si>
  <si>
    <t>crowned jewels</t>
  </si>
  <si>
    <t>jewell marceau</t>
  </si>
  <si>
    <t>nyssa nevers</t>
  </si>
  <si>
    <t>stripping at 4m,tying at 7m,enema at 10m,enema plug at 29m</t>
  </si>
  <si>
    <t>sensual stripping to hardcore bdsm,tied together at 60m</t>
  </si>
  <si>
    <t>japanese</t>
  </si>
  <si>
    <t>towel on face</t>
  </si>
  <si>
    <t>shibari</t>
  </si>
  <si>
    <t>multiple girls</t>
  </si>
  <si>
    <t>sitting on pusst at 140m</t>
  </si>
  <si>
    <t>tape</t>
  </si>
  <si>
    <t>tit torture</t>
  </si>
  <si>
    <t>sitting</t>
  </si>
  <si>
    <t>upside down</t>
  </si>
  <si>
    <t>sensual stripping at 1m, 69 at 11m</t>
  </si>
  <si>
    <t>dildo</t>
  </si>
  <si>
    <t>cunnilingus</t>
  </si>
  <si>
    <t>https://www.txxx.porn/sites/divine-bitches/</t>
  </si>
  <si>
    <t>decent sized collection of full length femdom videos from divine bitches</t>
  </si>
  <si>
    <t>https://www.txxx.porn/sites/men-in-pain/</t>
  </si>
  <si>
    <t>men in pain</t>
  </si>
  <si>
    <t>decent sized collection of full length femdom videos from men in pain</t>
  </si>
  <si>
    <t>https://www.txxx.porn/sites/kink/</t>
  </si>
  <si>
    <t>https://www.txxx.porn/sites/kink-classics/</t>
  </si>
  <si>
    <t>kink classic</t>
  </si>
  <si>
    <t>decent sized collection of full length femdom videos from kink</t>
  </si>
  <si>
    <t>decent sized collection of full length femdom videos from kink classic</t>
  </si>
  <si>
    <t>https://www.tubegalore.com/c/japanese-femdom</t>
  </si>
  <si>
    <t>jap femdom</t>
  </si>
  <si>
    <t>https://www.eporner.com/video-YbhCJeVFRxq/mxpa-012-japanese-strapon-femdom/</t>
  </si>
  <si>
    <t>https://xhamster44.desi/moments/japanese-mistress-whipping-training-slave-xhZCsMd</t>
  </si>
  <si>
    <t>https://abjav.com/video/114433/japanese-femdom-pt3/?campaign_id=251311668</t>
  </si>
  <si>
    <t>foot worship</t>
  </si>
  <si>
    <t>cbt</t>
  </si>
  <si>
    <t>dani daniels</t>
  </si>
  <si>
    <t>body licking</t>
  </si>
  <si>
    <t>bikini</t>
  </si>
  <si>
    <t>ass eating at 14m,foot licking at 35m</t>
  </si>
  <si>
    <t>https://beeg.com/</t>
  </si>
  <si>
    <t>https://www.fuq.com/</t>
  </si>
  <si>
    <t>https://beeg.com/FemDom?f=Pegging</t>
  </si>
  <si>
    <t>https://beeg.com/FemdomEmpire</t>
  </si>
  <si>
    <t>https://www.fuq.com/category/femdom</t>
  </si>
  <si>
    <t>https://www.fuq.com/category/femdom-handjob</t>
  </si>
  <si>
    <t>https://www.fuq.com/category/femdom-humiliation</t>
  </si>
  <si>
    <t>https://www.fuq.com/category/femdom-pegging</t>
  </si>
  <si>
    <t>https://www.fuq.com/category/chastity</t>
  </si>
  <si>
    <t>https://beeg.com/-0899813051751019</t>
  </si>
  <si>
    <t>rimjob</t>
  </si>
  <si>
    <t>ass fingering at 5m</t>
  </si>
  <si>
    <t>viper</t>
  </si>
  <si>
    <t>https://heavyfetish.com/videos/89132/siswet-receives-a-whole-foot-into-her-asshole/</t>
  </si>
  <si>
    <t>https://heavyfetish.com/videos/102397/divine-bitches-training-of-a-bitchboy/</t>
  </si>
  <si>
    <t>https://www.porntopedia.com/video/110258/lorelei-lees-ruthless-domination-divine-femdom-relentless-bondage/?utm_source=tubetraffic&amp;utm_medium=cpc&amp;utm_campaign=1&amp;utm_term=&amp;utm_content=</t>
  </si>
  <si>
    <t>https://heavyfetish.com/videos/102023/the-english-mansion-owned-by-kiana/</t>
  </si>
  <si>
    <t>lorelei lee</t>
  </si>
  <si>
    <t>kiana</t>
  </si>
  <si>
    <t>unknown</t>
  </si>
  <si>
    <t>boob smunknowning at 8m</t>
  </si>
  <si>
    <t>liplocked and tied together and forced to free each unknown</t>
  </si>
  <si>
    <t>https://spankbang.com/6n318/video/riley+reid+and+carter+cruise+eating+ass+of+eachunknown+and+friends</t>
  </si>
  <si>
    <t>smunknowning face in ass at 20m,pegging at 29m</t>
  </si>
  <si>
    <t>https://heavyfetish.com/videos/1862/lesbian-teens-licking-each-unknowns-pussies/</t>
  </si>
  <si>
    <t>all</t>
  </si>
  <si>
    <t>chastity</t>
  </si>
  <si>
    <t>pov</t>
  </si>
  <si>
    <t>medium length basic femdom videos</t>
  </si>
  <si>
    <t>slave</t>
  </si>
  <si>
    <t>kneeling</t>
  </si>
  <si>
    <t>femdom empire 8 videos</t>
  </si>
  <si>
    <t>humbler vertical</t>
  </si>
  <si>
    <t>arched</t>
  </si>
  <si>
    <t>high quality and long length femdom videos across many types</t>
  </si>
  <si>
    <t>balls behind ass</t>
  </si>
  <si>
    <t>human dildo</t>
  </si>
  <si>
    <t>basic femdom handjob videos, nothing super exlusive</t>
  </si>
  <si>
    <t>feet on head</t>
  </si>
  <si>
    <t>outdoors</t>
  </si>
  <si>
    <t>ball kicking</t>
  </si>
  <si>
    <t>feminization</t>
  </si>
  <si>
    <t>average quality humiliation videos, mostly feet and cum service</t>
  </si>
  <si>
    <t>femboy</t>
  </si>
  <si>
    <t>ball bite</t>
  </si>
  <si>
    <t>canning</t>
  </si>
  <si>
    <t>pet play</t>
  </si>
  <si>
    <t>good quality femdom pegging along with interesting positions</t>
  </si>
  <si>
    <t>permanent chastity</t>
  </si>
  <si>
    <t>torture</t>
  </si>
  <si>
    <t>denial</t>
  </si>
  <si>
    <t>cumshot</t>
  </si>
  <si>
    <t>amature and professional chastity along with high focus on torture and denial</t>
  </si>
  <si>
    <t>https://www.eporner.com/video-J7qRDyI3Im5/permanent-chastity/?trx=1227735290aee694b81473a256bea12420712</t>
  </si>
  <si>
    <t>https://www.eporner.com/video-Om9TvU0lKzT/adria-rae-femdom-scene/?trx=1227735290aee694b81473a256bea12420712</t>
  </si>
  <si>
    <t>adria rae</t>
  </si>
  <si>
    <t>https://www.porntrex.com/video/2979491/kink-penny-barber-gorgeous-gusher</t>
  </si>
  <si>
    <t>penny barber</t>
  </si>
  <si>
    <t>side fuck</t>
  </si>
  <si>
    <t>prone bone</t>
  </si>
  <si>
    <t>collection of tame but high quality videos</t>
  </si>
  <si>
    <t>general videos with decent length and good production quality</t>
  </si>
  <si>
    <t>paddle</t>
  </si>
  <si>
    <t>short vid of 2 guys and 1 girl getting flogged</t>
  </si>
  <si>
    <t>tit job</t>
  </si>
  <si>
    <t>mid tit job with hands tied</t>
  </si>
  <si>
    <t>none</t>
  </si>
  <si>
    <t>permanent chastity fitting with PA piercing</t>
  </si>
  <si>
    <t>pa piercing</t>
  </si>
  <si>
    <t>xvideos red</t>
  </si>
  <si>
    <t>normal-sensual-lesdom</t>
  </si>
  <si>
    <t>foot in ass</t>
  </si>
  <si>
    <t>call girls</t>
  </si>
  <si>
    <t>non nude</t>
  </si>
  <si>
    <t>sounding</t>
  </si>
  <si>
    <t>foot in ass at 0m, whole foot in ass at 3m</t>
  </si>
  <si>
    <t>sounding at 6m,trampling at 45m,head in thighs at 59m,whipping at 65m,enema at 80m,pegging at 93m</t>
  </si>
  <si>
    <t>leash</t>
  </si>
  <si>
    <t>cfnm</t>
  </si>
  <si>
    <t>boot licking at 1m,spank at 9m,cigg smoke at 12m,flogg at 14m,leaves at 18m</t>
  </si>
  <si>
    <t>anal hook at 7m,spaking at 8m,balls rubberband at 15m,syringe at 20m,pegging at 22m,cunnilingus at 31m</t>
  </si>
  <si>
    <t>face riding</t>
  </si>
  <si>
    <t>flogging at 9m,heels on dick at 13m,paddle spank at 22m,cunilingus at 30m,69 at 40m,leash doggy at 45m</t>
  </si>
  <si>
    <t>tit bite</t>
  </si>
  <si>
    <t xml:space="preserve">flogging </t>
  </si>
  <si>
    <t>stripping at 6m,tit flogging at 6m,oiled at 15m</t>
  </si>
  <si>
    <t>websitelink</t>
  </si>
  <si>
    <t>https://www.pornhits.com/videos.php?p=1&amp;s=l&amp;spon=divine-bitches-kink</t>
  </si>
  <si>
    <t>full length divine bitches library</t>
  </si>
  <si>
    <t>https://www.porntry.com/sites/men-in-pain/most-popular/</t>
  </si>
  <si>
    <t>go to most viewed</t>
  </si>
  <si>
    <t>https://www.porntry.com/videos/22501001/47e1b5131fea40a07c8dbe676b82203b/</t>
  </si>
  <si>
    <t>https://www.porntry.com/videos/22501682/839b596862993727fd9847f01e9660fa/</t>
  </si>
  <si>
    <t>https://www.porntry.com/videos/22496998/e3ddcb0614bd2e35f425251178c9885f/</t>
  </si>
  <si>
    <t>https://www.porntry.com/videos/22498489/ad30ac38767161a6b1b21f0b051cf0e3/</t>
  </si>
  <si>
    <t>https://www.porntry.com/videos/22502128/48becf08ce1d8544f1ecd11b29940273/</t>
  </si>
  <si>
    <t>daphne rosen</t>
  </si>
  <si>
    <t>blackmail at 10m,flogging at 11m,doggy at 25m,paddling at 27m</t>
  </si>
  <si>
    <t>maitresse madeline marlowe</t>
  </si>
  <si>
    <t>cloth tear at 12m,flogging at 14m,trampling at 18m, foot on dick at 20m, ass eating at 24m,pegging at 40m</t>
  </si>
  <si>
    <t>bobbi starr</t>
  </si>
  <si>
    <t>suspended upside down</t>
  </si>
  <si>
    <t>cbt at 12m,spanking at 16m,pegging at 22m,pussy eating at 33m</t>
  </si>
  <si>
    <t>cassandra cruz</t>
  </si>
  <si>
    <t>samantha sin</t>
  </si>
  <si>
    <t>flogging at 2m,cunnilingus at 15m,pegging at 16m,female pretzel,dildo on mouth at 20m,cock clothespin at 26m</t>
  </si>
  <si>
    <t>aiden starr</t>
  </si>
  <si>
    <t>madison young</t>
  </si>
  <si>
    <t>ass eating at 15m,flogging at 23m,pegging at 25m,spitroast</t>
  </si>
  <si>
    <t>2f-1m</t>
  </si>
  <si>
    <t>https://www.porntry.com/videos/22500252/dceae482c25e7ba144d7049394deb6c5/</t>
  </si>
  <si>
    <t>https://www.porntry.com/videos/22564804/1910c56168474048302fda1693b08f22/</t>
  </si>
  <si>
    <t>gia dimarco</t>
  </si>
  <si>
    <t>ariel x</t>
  </si>
  <si>
    <t>arabelle raphael</t>
  </si>
  <si>
    <t>fight,abduction,flogging at 13m,pussy flogging at 17m,tit pull at 19m,oiled at 20m,foot eating at 29m,lesbian pegging at end</t>
  </si>
  <si>
    <t>wax at 12m,doggy flogging at 24m,pegging at 31m,piv at 41m</t>
  </si>
  <si>
    <t>https://tube.perverzija.com/whippedass-daisy-marie-and-aiden-starr-daisys-promotion/</t>
  </si>
  <si>
    <t>daisy marie</t>
  </si>
  <si>
    <t>https://tube.perverzija.com/meninpain-bobbi-starr-and-isis-love-the-reward/</t>
  </si>
  <si>
    <t>https://xhamster44.desi/videos/no-safe-word-xh5QQce?pw=</t>
  </si>
  <si>
    <t>Pending</t>
  </si>
  <si>
    <t>https://www.tubebdsm.com/category/bdsm-extreme</t>
  </si>
  <si>
    <t>https://abbdsm.com/video/141957/hot-submissive-teen-18-babe-gets-ass-destroyed-in-anal-sex-domination-fuck/</t>
  </si>
  <si>
    <t>https://xhamster44.desi/videos/clean-and-clear-xhUNQAP?pw=</t>
  </si>
  <si>
    <t>https://www.tubebdsm.com/category/pretty</t>
  </si>
  <si>
    <t>https://www.tubebdsm.com/category/bdsm</t>
  </si>
  <si>
    <t>https://www.tubebdsm.com/category/strap-on-femdom</t>
  </si>
  <si>
    <t>https://www.tubebdsm.com/category/femdom</t>
  </si>
  <si>
    <t>https://xhamster44.desi/videos/chastity-gloves-and-condoms-how-many-until-he-doesnt-feel-anything-xhTMLsQ?pw=</t>
  </si>
  <si>
    <t>malice jade</t>
  </si>
  <si>
    <t>https://www.fapcat.com/videos/2647059/mistress-makes-slave-be-in-chastity-him-too/?utm_source=pbweb&amp;utm_campaign=pbweb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</si>
</sst>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6161"/>
        </patternFill>
      </fill>
    </dxf>
  </dxfs>
  <tableStyles count="0" defaultTableStyle="TableStyleMedium2" defaultPivotStyle="PivotStyleLight16"/>
  <colors>
    <mruColors>
      <color rgb="FFFF616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93B7-B882-48B2-AAF6-D1E0B3702CB8}">
  <dimension ref="A1:U156"/>
  <sheetViews>
    <sheetView tabSelected="1" zoomScale="70" zoomScaleNormal="70" workbookViewId="0">
      <pane ySplit="1" topLeftCell="A2" activePane="bottomLeft" state="frozen"/>
      <selection pane="bottomLeft" activeCell="J130" sqref="J130"/>
    </sheetView>
  </sheetViews>
  <sheetFormatPr defaultRowHeight="15" x14ac:dyDescent="0.25"/>
  <cols>
    <col min="1" max="1" width="12.85546875" style="16" customWidth="1"/>
    <col min="2" max="2" width="46.28515625" style="16" customWidth="1"/>
    <col min="3" max="3" width="14.7109375" style="16" bestFit="1" customWidth="1"/>
    <col min="4" max="4" width="18.28515625" style="16" bestFit="1" customWidth="1"/>
    <col min="5" max="5" width="15.7109375" style="16" customWidth="1"/>
    <col min="6" max="6" width="12.85546875" style="16" bestFit="1" customWidth="1"/>
    <col min="7" max="7" width="12.7109375" style="16" bestFit="1" customWidth="1"/>
    <col min="8" max="18" width="21.5703125" style="16" customWidth="1"/>
    <col min="19" max="19" width="10.5703125" style="16" bestFit="1" customWidth="1"/>
    <col min="20" max="20" width="53.5703125" style="16" bestFit="1" customWidth="1"/>
    <col min="21" max="21" width="19.28515625" style="16" bestFit="1" customWidth="1"/>
    <col min="22" max="16384" width="9.140625" style="16"/>
  </cols>
  <sheetData>
    <row r="1" spans="1:21" s="15" customFormat="1" x14ac:dyDescent="0.25">
      <c r="A1" s="17" t="s">
        <v>618</v>
      </c>
      <c r="B1" s="17" t="s">
        <v>78</v>
      </c>
      <c r="C1" s="17" t="s">
        <v>80</v>
      </c>
      <c r="D1" s="17" t="s">
        <v>84</v>
      </c>
      <c r="E1" s="17" t="s">
        <v>81</v>
      </c>
      <c r="F1" s="17" t="s">
        <v>82</v>
      </c>
      <c r="G1" s="17" t="s">
        <v>83</v>
      </c>
      <c r="H1" s="17" t="s">
        <v>89</v>
      </c>
      <c r="I1" s="17" t="s">
        <v>86</v>
      </c>
      <c r="J1" s="17" t="s">
        <v>87</v>
      </c>
      <c r="K1" s="17" t="s">
        <v>88</v>
      </c>
      <c r="L1" s="17" t="s">
        <v>92</v>
      </c>
      <c r="M1" s="17" t="s">
        <v>93</v>
      </c>
      <c r="N1" s="17" t="s">
        <v>94</v>
      </c>
      <c r="O1" s="17" t="s">
        <v>96</v>
      </c>
      <c r="P1" s="17" t="s">
        <v>97</v>
      </c>
      <c r="Q1" s="17" t="s">
        <v>98</v>
      </c>
      <c r="R1" s="17" t="s">
        <v>85</v>
      </c>
      <c r="S1" s="17" t="s">
        <v>104</v>
      </c>
      <c r="T1" s="17" t="s">
        <v>99</v>
      </c>
      <c r="U1" s="17" t="s">
        <v>79</v>
      </c>
    </row>
    <row r="2" spans="1:21" s="15" customFormat="1" ht="45" x14ac:dyDescent="0.25">
      <c r="A2" s="17" t="str">
        <f>IF(ISBLANK(R2)=TRUE,"Pending","Done")</f>
        <v>Done</v>
      </c>
      <c r="B2" s="17" t="s">
        <v>297</v>
      </c>
      <c r="C2" s="17">
        <v>87</v>
      </c>
      <c r="D2" s="17" t="s">
        <v>203</v>
      </c>
      <c r="E2" s="17" t="s">
        <v>642</v>
      </c>
      <c r="F2" s="17" t="s">
        <v>77</v>
      </c>
      <c r="G2" s="17" t="s">
        <v>77</v>
      </c>
      <c r="H2" s="17" t="s">
        <v>116</v>
      </c>
      <c r="I2" s="17" t="s">
        <v>339</v>
      </c>
      <c r="J2" s="17" t="s">
        <v>643</v>
      </c>
      <c r="K2" s="17" t="s">
        <v>173</v>
      </c>
      <c r="L2" s="17" t="s">
        <v>134</v>
      </c>
      <c r="M2" s="17" t="s">
        <v>102</v>
      </c>
      <c r="N2" s="17" t="s">
        <v>645</v>
      </c>
      <c r="O2" s="17" t="s">
        <v>437</v>
      </c>
      <c r="P2" s="17" t="s">
        <v>432</v>
      </c>
      <c r="Q2" s="17" t="s">
        <v>127</v>
      </c>
      <c r="R2" s="17" t="s">
        <v>91</v>
      </c>
      <c r="S2" s="17">
        <v>8</v>
      </c>
      <c r="T2" s="17" t="s">
        <v>644</v>
      </c>
      <c r="U2" s="17" t="str" cm="1">
        <f t="array" ref="U2">_xlfn.REGEXEXTRACT(B2,"(?&lt;=//)[^/]+")</f>
        <v>heavyfetish.com</v>
      </c>
    </row>
    <row r="3" spans="1:21" s="15" customFormat="1" ht="60" x14ac:dyDescent="0.25">
      <c r="A3" s="17" t="str">
        <f>IF(ISBLANK(R3)=TRUE,"Pending","Done")</f>
        <v>Done</v>
      </c>
      <c r="B3" s="17" t="s">
        <v>764</v>
      </c>
      <c r="C3" s="17">
        <v>57</v>
      </c>
      <c r="D3" s="17" t="s">
        <v>493</v>
      </c>
      <c r="E3" s="17" t="s">
        <v>765</v>
      </c>
      <c r="F3" s="17" t="s">
        <v>77</v>
      </c>
      <c r="G3" s="17" t="s">
        <v>77</v>
      </c>
      <c r="H3" s="17" t="s">
        <v>192</v>
      </c>
      <c r="I3" s="17" t="s">
        <v>134</v>
      </c>
      <c r="J3" s="17" t="s">
        <v>100</v>
      </c>
      <c r="K3" s="17" t="s">
        <v>95</v>
      </c>
      <c r="L3" s="17" t="s">
        <v>118</v>
      </c>
      <c r="M3" s="17" t="s">
        <v>791</v>
      </c>
      <c r="N3" s="17" t="s">
        <v>787</v>
      </c>
      <c r="O3" s="17" t="s">
        <v>492</v>
      </c>
      <c r="P3" s="17" t="s">
        <v>128</v>
      </c>
      <c r="Q3" s="17">
        <v>69</v>
      </c>
      <c r="R3" s="17" t="s">
        <v>91</v>
      </c>
      <c r="S3" s="17">
        <v>8</v>
      </c>
      <c r="T3" s="17" t="s">
        <v>792</v>
      </c>
      <c r="U3" s="17" t="str" cm="1">
        <f t="array" ref="U3">_xlfn.REGEXEXTRACT(B3,"(?&lt;=//)[^/]+")</f>
        <v>www.eporner.com</v>
      </c>
    </row>
    <row r="4" spans="1:21" s="15" customFormat="1" ht="30" x14ac:dyDescent="0.25">
      <c r="A4" s="17" t="str">
        <f>IF(ISBLANK(R4)=TRUE,"Pending","Done")</f>
        <v>Done</v>
      </c>
      <c r="B4" s="17" t="s">
        <v>75</v>
      </c>
      <c r="C4" s="17">
        <v>0</v>
      </c>
      <c r="D4" s="17" t="s">
        <v>796</v>
      </c>
      <c r="E4" s="17" t="s">
        <v>609</v>
      </c>
      <c r="F4" s="17" t="s">
        <v>77</v>
      </c>
      <c r="G4" s="17" t="s">
        <v>77</v>
      </c>
      <c r="H4" s="17" t="s">
        <v>116</v>
      </c>
      <c r="I4" s="17" t="s">
        <v>492</v>
      </c>
      <c r="J4" s="17" t="s">
        <v>134</v>
      </c>
      <c r="K4" s="17" t="s">
        <v>102</v>
      </c>
      <c r="L4" s="17" t="s">
        <v>610</v>
      </c>
      <c r="M4" s="17" t="s">
        <v>118</v>
      </c>
      <c r="N4" s="17" t="s">
        <v>374</v>
      </c>
      <c r="O4" s="17" t="s">
        <v>492</v>
      </c>
      <c r="P4" s="17" t="s">
        <v>394</v>
      </c>
      <c r="Q4" s="17" t="s">
        <v>128</v>
      </c>
      <c r="R4" s="17" t="s">
        <v>91</v>
      </c>
      <c r="S4" s="17">
        <v>8</v>
      </c>
      <c r="T4" s="17" t="s">
        <v>611</v>
      </c>
      <c r="U4" s="17" t="str" cm="1">
        <f t="array" ref="U4">_xlfn.REGEXEXTRACT(B4,"(?&lt;=//)[^/]+")</f>
        <v>tube.perverzija.com</v>
      </c>
    </row>
    <row r="5" spans="1:21" s="15" customFormat="1" ht="30" x14ac:dyDescent="0.25">
      <c r="A5" s="17" t="str">
        <f>IF(ISBLANK(R5)=TRUE,"Pending","Done")</f>
        <v>Done</v>
      </c>
      <c r="B5" s="17" t="s">
        <v>714</v>
      </c>
      <c r="C5" s="17">
        <v>0</v>
      </c>
      <c r="D5" s="17" t="s">
        <v>796</v>
      </c>
      <c r="E5" s="17" t="s">
        <v>609</v>
      </c>
      <c r="F5" s="17" t="s">
        <v>77</v>
      </c>
      <c r="G5" s="17" t="s">
        <v>77</v>
      </c>
      <c r="H5" s="17" t="s">
        <v>192</v>
      </c>
      <c r="I5" s="17" t="s">
        <v>736</v>
      </c>
      <c r="J5" s="17" t="s">
        <v>400</v>
      </c>
      <c r="K5" s="17" t="s">
        <v>95</v>
      </c>
      <c r="L5" s="17" t="s">
        <v>193</v>
      </c>
      <c r="M5" s="17" t="s">
        <v>739</v>
      </c>
      <c r="N5" s="17" t="s">
        <v>756</v>
      </c>
      <c r="O5" s="17" t="s">
        <v>742</v>
      </c>
      <c r="P5" s="17" t="s">
        <v>743</v>
      </c>
      <c r="Q5" s="17" t="s">
        <v>188</v>
      </c>
      <c r="R5" s="17" t="s">
        <v>91</v>
      </c>
      <c r="S5" s="17">
        <v>8</v>
      </c>
      <c r="T5" s="17" t="s">
        <v>744</v>
      </c>
      <c r="U5" s="17" t="str" cm="1">
        <f t="array" ref="U5">_xlfn.REGEXEXTRACT(B5,"(?&lt;=//)[^/]+")</f>
        <v>www.fuq.com</v>
      </c>
    </row>
    <row r="6" spans="1:21" s="15" customFormat="1" ht="45" x14ac:dyDescent="0.25">
      <c r="A6" s="17" t="str">
        <f>IF(ISBLANK(Q6)=TRUE,"Pending","Done")</f>
        <v>Done</v>
      </c>
      <c r="B6" s="17" t="s">
        <v>67</v>
      </c>
      <c r="C6" s="17">
        <v>111</v>
      </c>
      <c r="D6" s="17" t="s">
        <v>729</v>
      </c>
      <c r="E6" s="17" t="s">
        <v>729</v>
      </c>
      <c r="F6" s="17" t="s">
        <v>77</v>
      </c>
      <c r="G6" s="17" t="s">
        <v>77</v>
      </c>
      <c r="H6" s="17" t="s">
        <v>116</v>
      </c>
      <c r="I6" s="17" t="s">
        <v>134</v>
      </c>
      <c r="J6" s="17" t="s">
        <v>659</v>
      </c>
      <c r="K6" s="17" t="s">
        <v>654</v>
      </c>
      <c r="L6" s="17" t="s">
        <v>523</v>
      </c>
      <c r="M6" s="17" t="s">
        <v>173</v>
      </c>
      <c r="N6" s="17" t="s">
        <v>102</v>
      </c>
      <c r="O6" s="17" t="s">
        <v>655</v>
      </c>
      <c r="P6" s="17" t="s">
        <v>656</v>
      </c>
      <c r="Q6" s="17" t="s">
        <v>657</v>
      </c>
      <c r="R6" s="17" t="s">
        <v>91</v>
      </c>
      <c r="S6" s="17">
        <v>7</v>
      </c>
      <c r="T6" s="17" t="s">
        <v>658</v>
      </c>
      <c r="U6" s="17" t="str" cm="1">
        <f t="array" ref="U6">_xlfn.REGEXEXTRACT(B6,"(?&lt;=//)[^/]+")</f>
        <v>punishworld.com</v>
      </c>
    </row>
    <row r="7" spans="1:21" ht="45" x14ac:dyDescent="0.25">
      <c r="A7" s="17" t="str">
        <f>IF(ISBLANK(R7)=TRUE,"Pending","Done")</f>
        <v>Done</v>
      </c>
      <c r="B7" s="17" t="s">
        <v>66</v>
      </c>
      <c r="C7" s="17">
        <v>85</v>
      </c>
      <c r="D7" s="17" t="s">
        <v>443</v>
      </c>
      <c r="E7" s="17" t="s">
        <v>167</v>
      </c>
      <c r="F7" s="17" t="s">
        <v>461</v>
      </c>
      <c r="G7" s="17" t="s">
        <v>77</v>
      </c>
      <c r="H7" s="17" t="s">
        <v>115</v>
      </c>
      <c r="I7" s="17" t="s">
        <v>646</v>
      </c>
      <c r="J7" s="17" t="s">
        <v>134</v>
      </c>
      <c r="K7" s="17" t="s">
        <v>171</v>
      </c>
      <c r="L7" s="17" t="s">
        <v>172</v>
      </c>
      <c r="M7" s="17" t="s">
        <v>126</v>
      </c>
      <c r="N7" s="17" t="s">
        <v>174</v>
      </c>
      <c r="O7" s="17" t="s">
        <v>169</v>
      </c>
      <c r="P7" s="17" t="s">
        <v>155</v>
      </c>
      <c r="Q7" s="17" t="s">
        <v>170</v>
      </c>
      <c r="R7" s="17" t="s">
        <v>91</v>
      </c>
      <c r="S7" s="17">
        <v>7</v>
      </c>
      <c r="T7" s="17" t="s">
        <v>244</v>
      </c>
      <c r="U7" s="17" t="str" cm="1">
        <f t="array" ref="U7">_xlfn.REGEXEXTRACT(B7,"(?&lt;=//)[^/]+")</f>
        <v>bdsmstreak.com</v>
      </c>
    </row>
    <row r="8" spans="1:21" ht="60" x14ac:dyDescent="0.25">
      <c r="A8" s="17" t="str">
        <f>IF(ISBLANK(R8)=TRUE,"Pending","Done")</f>
        <v>Done</v>
      </c>
      <c r="B8" s="17" t="s">
        <v>631</v>
      </c>
      <c r="C8" s="17">
        <v>73</v>
      </c>
      <c r="D8" s="17" t="s">
        <v>320</v>
      </c>
      <c r="E8" s="17" t="s">
        <v>636</v>
      </c>
      <c r="F8" s="17" t="s">
        <v>77</v>
      </c>
      <c r="G8" s="17" t="s">
        <v>77</v>
      </c>
      <c r="H8" s="17" t="s">
        <v>116</v>
      </c>
      <c r="I8" s="17" t="s">
        <v>637</v>
      </c>
      <c r="J8" s="17" t="s">
        <v>120</v>
      </c>
      <c r="K8" s="17" t="s">
        <v>134</v>
      </c>
      <c r="L8" s="17" t="s">
        <v>118</v>
      </c>
      <c r="M8" s="17" t="s">
        <v>639</v>
      </c>
      <c r="N8" s="17" t="s">
        <v>389</v>
      </c>
      <c r="O8" s="17" t="s">
        <v>638</v>
      </c>
      <c r="P8" s="17" t="s">
        <v>640</v>
      </c>
      <c r="Q8" s="17" t="s">
        <v>394</v>
      </c>
      <c r="R8" s="17" t="s">
        <v>91</v>
      </c>
      <c r="S8" s="17">
        <v>7</v>
      </c>
      <c r="T8" s="17" t="s">
        <v>641</v>
      </c>
      <c r="U8" s="17" t="str" cm="1">
        <f t="array" ref="U8">_xlfn.REGEXEXTRACT(B8,"(?&lt;=//)[^/]+")</f>
        <v>heavyfetish.com</v>
      </c>
    </row>
    <row r="9" spans="1:21" ht="45" x14ac:dyDescent="0.25">
      <c r="A9" s="17" t="str">
        <f>IF(ISBLANK(R9)=TRUE,"Pending","Done")</f>
        <v>Done</v>
      </c>
      <c r="B9" s="17" t="s">
        <v>286</v>
      </c>
      <c r="C9" s="17">
        <v>56</v>
      </c>
      <c r="D9" s="17" t="s">
        <v>131</v>
      </c>
      <c r="E9" s="17" t="s">
        <v>568</v>
      </c>
      <c r="F9" s="17" t="s">
        <v>77</v>
      </c>
      <c r="G9" s="17" t="s">
        <v>77</v>
      </c>
      <c r="H9" s="17" t="s">
        <v>116</v>
      </c>
      <c r="I9" s="17" t="s">
        <v>102</v>
      </c>
      <c r="J9" s="17" t="s">
        <v>134</v>
      </c>
      <c r="K9" s="17" t="s">
        <v>572</v>
      </c>
      <c r="L9" s="17" t="s">
        <v>491</v>
      </c>
      <c r="M9" s="17" t="s">
        <v>523</v>
      </c>
      <c r="N9" s="17" t="s">
        <v>161</v>
      </c>
      <c r="O9" s="17" t="s">
        <v>166</v>
      </c>
      <c r="P9" s="17" t="s">
        <v>571</v>
      </c>
      <c r="Q9" s="17" t="s">
        <v>188</v>
      </c>
      <c r="R9" s="17" t="s">
        <v>91</v>
      </c>
      <c r="S9" s="17">
        <v>7</v>
      </c>
      <c r="T9" s="17" t="s">
        <v>573</v>
      </c>
      <c r="U9" s="17" t="str" cm="1">
        <f t="array" ref="U9">_xlfn.REGEXEXTRACT(B9,"(?&lt;=//)[^/]+")</f>
        <v>m.hqporner.com</v>
      </c>
    </row>
    <row r="10" spans="1:21" ht="30" x14ac:dyDescent="0.25">
      <c r="A10" s="17" t="str">
        <f>IF(ISBLANK(R10)=TRUE,"Pending","Done")</f>
        <v>Done</v>
      </c>
      <c r="B10" s="17" t="s">
        <v>45</v>
      </c>
      <c r="C10" s="17">
        <v>53</v>
      </c>
      <c r="D10" s="17" t="s">
        <v>131</v>
      </c>
      <c r="E10" s="17" t="s">
        <v>446</v>
      </c>
      <c r="F10" s="17" t="s">
        <v>77</v>
      </c>
      <c r="G10" s="17" t="s">
        <v>77</v>
      </c>
      <c r="H10" s="17" t="s">
        <v>116</v>
      </c>
      <c r="I10" s="17" t="s">
        <v>134</v>
      </c>
      <c r="J10" s="17" t="s">
        <v>158</v>
      </c>
      <c r="K10" s="17" t="s">
        <v>153</v>
      </c>
      <c r="L10" s="17" t="s">
        <v>159</v>
      </c>
      <c r="M10" s="17" t="s">
        <v>160</v>
      </c>
      <c r="N10" s="17" t="s">
        <v>161</v>
      </c>
      <c r="O10" s="17" t="s">
        <v>154</v>
      </c>
      <c r="P10" s="17" t="s">
        <v>156</v>
      </c>
      <c r="Q10" s="17" t="s">
        <v>157</v>
      </c>
      <c r="R10" s="17" t="s">
        <v>91</v>
      </c>
      <c r="S10" s="17">
        <v>7</v>
      </c>
      <c r="T10" s="17" t="s">
        <v>162</v>
      </c>
      <c r="U10" s="17" t="str" cm="1">
        <f t="array" ref="U10">_xlfn.REGEXEXTRACT(B10,"(?&lt;=//)[^/]+")</f>
        <v>bdsmstreak.com</v>
      </c>
    </row>
    <row r="11" spans="1:21" ht="30" x14ac:dyDescent="0.25">
      <c r="A11" s="17" t="str">
        <f>IF(ISBLANK(R11)=TRUE,"Pending","Done")</f>
        <v>Done</v>
      </c>
      <c r="B11" s="17" t="s">
        <v>288</v>
      </c>
      <c r="C11" s="17">
        <v>51</v>
      </c>
      <c r="D11" s="17" t="s">
        <v>131</v>
      </c>
      <c r="E11" s="17" t="s">
        <v>531</v>
      </c>
      <c r="F11" s="17" t="s">
        <v>77</v>
      </c>
      <c r="G11" s="17" t="s">
        <v>77</v>
      </c>
      <c r="H11" s="17" t="s">
        <v>116</v>
      </c>
      <c r="I11" s="17" t="s">
        <v>256</v>
      </c>
      <c r="J11" s="17" t="s">
        <v>102</v>
      </c>
      <c r="K11" s="17" t="s">
        <v>533</v>
      </c>
      <c r="L11" s="17" t="s">
        <v>159</v>
      </c>
      <c r="M11" s="17" t="s">
        <v>143</v>
      </c>
      <c r="N11" s="17" t="s">
        <v>136</v>
      </c>
      <c r="O11" s="17" t="s">
        <v>254</v>
      </c>
      <c r="P11" s="17" t="s">
        <v>532</v>
      </c>
      <c r="Q11" s="17" t="s">
        <v>127</v>
      </c>
      <c r="R11" s="17" t="s">
        <v>91</v>
      </c>
      <c r="S11" s="17">
        <v>7</v>
      </c>
      <c r="T11" s="17" t="s">
        <v>534</v>
      </c>
      <c r="U11" s="17" t="str" cm="1">
        <f t="array" ref="U11">_xlfn.REGEXEXTRACT(B11,"(?&lt;=//)[^/]+")</f>
        <v>m.hqporner.com</v>
      </c>
    </row>
    <row r="12" spans="1:21" ht="45" x14ac:dyDescent="0.25">
      <c r="A12" s="17" t="str">
        <f>IF(ISBLANK(R12)=TRUE,"Pending","Done")</f>
        <v>Done</v>
      </c>
      <c r="B12" s="17" t="s">
        <v>223</v>
      </c>
      <c r="C12" s="17">
        <v>48</v>
      </c>
      <c r="D12" s="17" t="s">
        <v>235</v>
      </c>
      <c r="E12" s="17" t="s">
        <v>236</v>
      </c>
      <c r="F12" s="17" t="s">
        <v>77</v>
      </c>
      <c r="G12" s="17" t="s">
        <v>77</v>
      </c>
      <c r="H12" s="17" t="s">
        <v>117</v>
      </c>
      <c r="I12" s="17" t="s">
        <v>239</v>
      </c>
      <c r="J12" s="17" t="s">
        <v>238</v>
      </c>
      <c r="K12" s="17" t="s">
        <v>253</v>
      </c>
      <c r="L12" s="17" t="s">
        <v>149</v>
      </c>
      <c r="M12" s="17" t="s">
        <v>149</v>
      </c>
      <c r="N12" s="17" t="s">
        <v>101</v>
      </c>
      <c r="O12" s="17" t="s">
        <v>237</v>
      </c>
      <c r="P12" s="17" t="s">
        <v>77</v>
      </c>
      <c r="Q12" s="17" t="s">
        <v>77</v>
      </c>
      <c r="R12" s="17" t="s">
        <v>91</v>
      </c>
      <c r="S12" s="17">
        <v>7</v>
      </c>
      <c r="T12" s="17" t="s">
        <v>252</v>
      </c>
      <c r="U12" s="17" t="str" cm="1">
        <f t="array" ref="U12">_xlfn.REGEXEXTRACT(B12,"(?&lt;=//)[^/]+")</f>
        <v>heavyfetish.com</v>
      </c>
    </row>
    <row r="13" spans="1:21" ht="60" x14ac:dyDescent="0.25">
      <c r="A13" s="17" t="str">
        <f>IF(ISBLANK(R13)=TRUE,"Pending","Done")</f>
        <v>Done</v>
      </c>
      <c r="B13" s="17" t="s">
        <v>300</v>
      </c>
      <c r="C13" s="17">
        <v>47</v>
      </c>
      <c r="D13" s="17" t="s">
        <v>348</v>
      </c>
      <c r="E13" s="17" t="s">
        <v>384</v>
      </c>
      <c r="F13" s="17" t="s">
        <v>77</v>
      </c>
      <c r="G13" s="17" t="s">
        <v>77</v>
      </c>
      <c r="H13" s="17" t="s">
        <v>116</v>
      </c>
      <c r="I13" s="17" t="s">
        <v>153</v>
      </c>
      <c r="J13" s="17" t="s">
        <v>134</v>
      </c>
      <c r="K13" s="17" t="s">
        <v>511</v>
      </c>
      <c r="L13" s="17" t="s">
        <v>112</v>
      </c>
      <c r="M13" s="17" t="s">
        <v>512</v>
      </c>
      <c r="N13" s="17" t="s">
        <v>513</v>
      </c>
      <c r="O13" s="17" t="s">
        <v>148</v>
      </c>
      <c r="P13" s="17" t="s">
        <v>169</v>
      </c>
      <c r="Q13" s="17" t="s">
        <v>188</v>
      </c>
      <c r="R13" s="17" t="s">
        <v>91</v>
      </c>
      <c r="S13" s="17">
        <v>7</v>
      </c>
      <c r="T13" s="17" t="s">
        <v>514</v>
      </c>
      <c r="U13" s="17" t="str" cm="1">
        <f t="array" ref="U13">_xlfn.REGEXEXTRACT(B13,"(?&lt;=//)[^/]+")</f>
        <v>bdsmstreak.com</v>
      </c>
    </row>
    <row r="14" spans="1:21" ht="45" x14ac:dyDescent="0.25">
      <c r="A14" s="17" t="str">
        <f>IF(ISBLANK(R14)=TRUE,"Pending","Done")</f>
        <v>Done</v>
      </c>
      <c r="B14" s="17" t="s">
        <v>724</v>
      </c>
      <c r="C14" s="17">
        <v>46</v>
      </c>
      <c r="D14" s="17" t="s">
        <v>190</v>
      </c>
      <c r="E14" s="17" t="s">
        <v>568</v>
      </c>
      <c r="F14" s="17" t="s">
        <v>77</v>
      </c>
      <c r="G14" s="17" t="s">
        <v>77</v>
      </c>
      <c r="H14" s="17" t="s">
        <v>192</v>
      </c>
      <c r="I14" s="17" t="s">
        <v>736</v>
      </c>
      <c r="J14" s="17" t="s">
        <v>153</v>
      </c>
      <c r="K14" s="17" t="s">
        <v>143</v>
      </c>
      <c r="L14" s="17" t="s">
        <v>118</v>
      </c>
      <c r="M14" s="17" t="s">
        <v>533</v>
      </c>
      <c r="N14" s="17" t="s">
        <v>95</v>
      </c>
      <c r="O14" s="17" t="s">
        <v>127</v>
      </c>
      <c r="P14" s="17" t="s">
        <v>188</v>
      </c>
      <c r="Q14" s="17" t="s">
        <v>740</v>
      </c>
      <c r="R14" s="17" t="s">
        <v>91</v>
      </c>
      <c r="S14" s="17">
        <v>7</v>
      </c>
      <c r="T14" s="17" t="s">
        <v>790</v>
      </c>
      <c r="U14" s="17" t="str" cm="1">
        <f t="array" ref="U14">_xlfn.REGEXEXTRACT(B14,"(?&lt;=//)[^/]+")</f>
        <v>heavyfetish.com</v>
      </c>
    </row>
    <row r="15" spans="1:21" ht="30" x14ac:dyDescent="0.25">
      <c r="A15" s="17" t="str">
        <f>IF(ISBLANK(R15)=TRUE,"Pending","Done")</f>
        <v>Done</v>
      </c>
      <c r="B15" s="17" t="s">
        <v>797</v>
      </c>
      <c r="C15" s="17">
        <v>0</v>
      </c>
      <c r="D15" s="17" t="s">
        <v>190</v>
      </c>
      <c r="E15" s="17" t="s">
        <v>609</v>
      </c>
      <c r="F15" s="17" t="s">
        <v>77</v>
      </c>
      <c r="G15" s="17" t="s">
        <v>77</v>
      </c>
      <c r="H15" s="17" t="s">
        <v>192</v>
      </c>
      <c r="I15" s="17" t="s">
        <v>492</v>
      </c>
      <c r="J15" s="17" t="s">
        <v>134</v>
      </c>
      <c r="K15" s="17" t="s">
        <v>95</v>
      </c>
      <c r="L15" s="17" t="s">
        <v>339</v>
      </c>
      <c r="M15" s="17" t="s">
        <v>739</v>
      </c>
      <c r="N15" s="17" t="s">
        <v>400</v>
      </c>
      <c r="O15" s="17" t="s">
        <v>492</v>
      </c>
      <c r="P15" s="17" t="s">
        <v>127</v>
      </c>
      <c r="Q15" s="17" t="s">
        <v>188</v>
      </c>
      <c r="R15" s="17" t="s">
        <v>91</v>
      </c>
      <c r="S15" s="17">
        <v>7</v>
      </c>
      <c r="T15" s="17" t="s">
        <v>798</v>
      </c>
      <c r="U15" s="17" t="str" cm="1">
        <f t="array" ref="U15">_xlfn.REGEXEXTRACT(B15,"(?&lt;=//)[^/]+")</f>
        <v>www.pornhits.com</v>
      </c>
    </row>
    <row r="16" spans="1:21" ht="30" x14ac:dyDescent="0.25">
      <c r="A16" s="17" t="str">
        <f>IF(ISBLANK(R16)=TRUE,"Pending","Done")</f>
        <v>Done</v>
      </c>
      <c r="B16" s="17" t="s">
        <v>289</v>
      </c>
      <c r="C16" s="17">
        <v>0</v>
      </c>
      <c r="D16" s="17" t="s">
        <v>796</v>
      </c>
      <c r="E16" s="17" t="s">
        <v>290</v>
      </c>
      <c r="F16" s="17" t="s">
        <v>77</v>
      </c>
      <c r="G16" s="17" t="s">
        <v>77</v>
      </c>
      <c r="H16" s="17" t="s">
        <v>291</v>
      </c>
      <c r="I16" s="17" t="s">
        <v>101</v>
      </c>
      <c r="J16" s="17" t="s">
        <v>100</v>
      </c>
      <c r="K16" s="17" t="s">
        <v>112</v>
      </c>
      <c r="L16" s="17" t="s">
        <v>292</v>
      </c>
      <c r="M16" s="17" t="s">
        <v>293</v>
      </c>
      <c r="N16" s="17" t="s">
        <v>161</v>
      </c>
      <c r="O16" s="17" t="s">
        <v>188</v>
      </c>
      <c r="P16" s="17" t="s">
        <v>228</v>
      </c>
      <c r="Q16" s="17" t="s">
        <v>205</v>
      </c>
      <c r="R16" s="17" t="s">
        <v>91</v>
      </c>
      <c r="S16" s="17">
        <v>7</v>
      </c>
      <c r="T16" s="17" t="s">
        <v>294</v>
      </c>
      <c r="U16" s="17" t="str" cm="1">
        <f t="array" ref="U16">_xlfn.REGEXEXTRACT(B16,"(?&lt;=//)[^/]+")</f>
        <v>spankbang.com</v>
      </c>
    </row>
    <row r="17" spans="1:21" ht="30" x14ac:dyDescent="0.25">
      <c r="A17" s="17" t="str">
        <f>IF(ISBLANK(R17)=TRUE,"Pending","Done")</f>
        <v>Done</v>
      </c>
      <c r="B17" s="17" t="s">
        <v>689</v>
      </c>
      <c r="C17" s="17">
        <v>0</v>
      </c>
      <c r="D17" s="17" t="s">
        <v>190</v>
      </c>
      <c r="E17" s="17" t="s">
        <v>609</v>
      </c>
      <c r="F17" s="17" t="s">
        <v>77</v>
      </c>
      <c r="G17" s="17" t="s">
        <v>77</v>
      </c>
      <c r="H17" s="17" t="s">
        <v>192</v>
      </c>
      <c r="I17" s="17" t="s">
        <v>95</v>
      </c>
      <c r="J17" s="17" t="s">
        <v>153</v>
      </c>
      <c r="K17" s="17" t="s">
        <v>339</v>
      </c>
      <c r="L17" s="17" t="s">
        <v>704</v>
      </c>
      <c r="M17" s="17" t="s">
        <v>705</v>
      </c>
      <c r="N17" s="17" t="s">
        <v>523</v>
      </c>
      <c r="O17" s="17" t="s">
        <v>195</v>
      </c>
      <c r="P17" s="17" t="s">
        <v>128</v>
      </c>
      <c r="Q17" s="17" t="s">
        <v>205</v>
      </c>
      <c r="R17" s="17" t="s">
        <v>91</v>
      </c>
      <c r="S17" s="17">
        <v>7</v>
      </c>
      <c r="T17" s="17" t="s">
        <v>690</v>
      </c>
      <c r="U17" s="17" t="str" cm="1">
        <f t="array" ref="U17">_xlfn.REGEXEXTRACT(B17,"(?&lt;=//)[^/]+")</f>
        <v>www.txxx.porn</v>
      </c>
    </row>
    <row r="18" spans="1:21" x14ac:dyDescent="0.25">
      <c r="A18" s="17" t="str">
        <f>IF(ISBLANK(R18)=TRUE,"Pending","Done")</f>
        <v>Done</v>
      </c>
      <c r="B18" s="17" t="s">
        <v>713</v>
      </c>
      <c r="C18" s="17">
        <v>0</v>
      </c>
      <c r="D18" s="17" t="s">
        <v>796</v>
      </c>
      <c r="E18" s="17" t="s">
        <v>609</v>
      </c>
      <c r="F18" s="17" t="s">
        <v>77</v>
      </c>
      <c r="G18" s="17" t="s">
        <v>77</v>
      </c>
      <c r="H18" s="17" t="s">
        <v>192</v>
      </c>
      <c r="I18" s="17" t="s">
        <v>736</v>
      </c>
      <c r="J18" s="17" t="s">
        <v>400</v>
      </c>
      <c r="K18" s="17" t="s">
        <v>95</v>
      </c>
      <c r="L18" s="17" t="s">
        <v>195</v>
      </c>
      <c r="M18" s="17" t="s">
        <v>647</v>
      </c>
      <c r="N18" s="17" t="s">
        <v>271</v>
      </c>
      <c r="O18" s="17" t="s">
        <v>127</v>
      </c>
      <c r="P18" s="17" t="s">
        <v>740</v>
      </c>
      <c r="Q18" s="17" t="s">
        <v>127</v>
      </c>
      <c r="R18" s="17" t="s">
        <v>91</v>
      </c>
      <c r="S18" s="17">
        <v>7</v>
      </c>
      <c r="T18" s="17" t="s">
        <v>741</v>
      </c>
      <c r="U18" s="17" t="str" cm="1">
        <f t="array" ref="U18">_xlfn.REGEXEXTRACT(B18,"(?&lt;=//)[^/]+")</f>
        <v>beeg.com</v>
      </c>
    </row>
    <row r="19" spans="1:21" x14ac:dyDescent="0.25">
      <c r="A19" s="17" t="str">
        <f>IF(ISBLANK(R19)=TRUE,"Pending","Done")</f>
        <v>Done</v>
      </c>
      <c r="B19" s="17" t="s">
        <v>710</v>
      </c>
      <c r="C19" s="17">
        <v>0</v>
      </c>
      <c r="D19" s="17" t="s">
        <v>796</v>
      </c>
      <c r="E19" s="17" t="s">
        <v>609</v>
      </c>
      <c r="F19" s="17" t="s">
        <v>77</v>
      </c>
      <c r="G19" s="17" t="s">
        <v>77</v>
      </c>
      <c r="H19" s="17" t="s">
        <v>735</v>
      </c>
      <c r="I19" s="17" t="s">
        <v>77</v>
      </c>
      <c r="J19" s="17" t="s">
        <v>77</v>
      </c>
      <c r="K19" s="17" t="s">
        <v>77</v>
      </c>
      <c r="L19" s="17" t="s">
        <v>77</v>
      </c>
      <c r="M19" s="17" t="s">
        <v>77</v>
      </c>
      <c r="N19" s="17" t="s">
        <v>77</v>
      </c>
      <c r="O19" s="17" t="s">
        <v>768</v>
      </c>
      <c r="P19" s="17" t="s">
        <v>415</v>
      </c>
      <c r="Q19" s="17" t="s">
        <v>769</v>
      </c>
      <c r="R19" s="17" t="s">
        <v>91</v>
      </c>
      <c r="S19" s="17">
        <v>7</v>
      </c>
      <c r="T19" s="17" t="s">
        <v>770</v>
      </c>
      <c r="U19" s="17" t="str" cm="1">
        <f t="array" ref="U19">_xlfn.REGEXEXTRACT(B19,"(?&lt;=//)[^/]+")</f>
        <v>beeg.com</v>
      </c>
    </row>
    <row r="20" spans="1:21" ht="30" x14ac:dyDescent="0.25">
      <c r="A20" s="17" t="str">
        <f>IF(ISBLANK(R20)=TRUE,"Pending","Done")</f>
        <v>Done</v>
      </c>
      <c r="B20" s="17" t="s">
        <v>711</v>
      </c>
      <c r="C20" s="17">
        <v>0</v>
      </c>
      <c r="D20" s="17" t="s">
        <v>796</v>
      </c>
      <c r="E20" s="17" t="s">
        <v>609</v>
      </c>
      <c r="F20" s="17" t="s">
        <v>77</v>
      </c>
      <c r="G20" s="17" t="s">
        <v>77</v>
      </c>
      <c r="H20" s="17" t="s">
        <v>735</v>
      </c>
      <c r="I20" s="17" t="s">
        <v>77</v>
      </c>
      <c r="J20" s="17" t="s">
        <v>77</v>
      </c>
      <c r="K20" s="17" t="s">
        <v>77</v>
      </c>
      <c r="L20" s="17" t="s">
        <v>77</v>
      </c>
      <c r="M20" s="17" t="s">
        <v>77</v>
      </c>
      <c r="N20" s="17" t="s">
        <v>77</v>
      </c>
      <c r="O20" s="17" t="s">
        <v>769</v>
      </c>
      <c r="P20" s="17" t="s">
        <v>768</v>
      </c>
      <c r="Q20" s="17" t="s">
        <v>127</v>
      </c>
      <c r="R20" s="17" t="s">
        <v>91</v>
      </c>
      <c r="S20" s="17">
        <v>7</v>
      </c>
      <c r="T20" s="17" t="s">
        <v>771</v>
      </c>
      <c r="U20" s="17" t="str" cm="1">
        <f t="array" ref="U20">_xlfn.REGEXEXTRACT(B20,"(?&lt;=//)[^/]+")</f>
        <v>www.fuq.com</v>
      </c>
    </row>
    <row r="21" spans="1:21" ht="45" x14ac:dyDescent="0.25">
      <c r="A21" s="17" t="str">
        <f>IF(ISBLANK(R21)=TRUE,"Pending","Done")</f>
        <v>Done</v>
      </c>
      <c r="B21" s="17" t="s">
        <v>820</v>
      </c>
      <c r="C21" s="17">
        <v>46</v>
      </c>
      <c r="D21" s="17" t="s">
        <v>148</v>
      </c>
      <c r="E21" s="17" t="s">
        <v>822</v>
      </c>
      <c r="F21" s="17" t="s">
        <v>823</v>
      </c>
      <c r="G21" s="17" t="s">
        <v>77</v>
      </c>
      <c r="H21" s="17" t="s">
        <v>117</v>
      </c>
      <c r="I21" s="17" t="s">
        <v>183</v>
      </c>
      <c r="J21" s="17" t="s">
        <v>134</v>
      </c>
      <c r="K21" s="17" t="s">
        <v>688</v>
      </c>
      <c r="L21" s="17" t="s">
        <v>612</v>
      </c>
      <c r="M21" s="17" t="s">
        <v>129</v>
      </c>
      <c r="N21" s="17" t="s">
        <v>683</v>
      </c>
      <c r="O21" s="17" t="s">
        <v>486</v>
      </c>
      <c r="P21" s="17" t="s">
        <v>103</v>
      </c>
      <c r="Q21" s="17" t="s">
        <v>127</v>
      </c>
      <c r="R21" s="17" t="s">
        <v>91</v>
      </c>
      <c r="S21" s="17">
        <v>7</v>
      </c>
      <c r="T21" s="17" t="s">
        <v>825</v>
      </c>
      <c r="U21" s="17" t="str" cm="1">
        <f t="array" ref="U21">_xlfn.REGEXEXTRACT(B21,"(?&lt;=//)[^/]+")</f>
        <v>www.porntry.com</v>
      </c>
    </row>
    <row r="22" spans="1:21" ht="45" x14ac:dyDescent="0.25">
      <c r="A22" s="17" t="str">
        <f>IF(ISBLANK(R22)=TRUE,"Pending","Done")</f>
        <v>Done</v>
      </c>
      <c r="B22" s="17" t="s">
        <v>703</v>
      </c>
      <c r="C22" s="17">
        <v>113</v>
      </c>
      <c r="D22" s="17" t="s">
        <v>729</v>
      </c>
      <c r="E22" s="17" t="s">
        <v>729</v>
      </c>
      <c r="F22" s="17" t="s">
        <v>77</v>
      </c>
      <c r="G22" s="17" t="s">
        <v>77</v>
      </c>
      <c r="H22" s="17" t="s">
        <v>192</v>
      </c>
      <c r="I22" s="17" t="s">
        <v>784</v>
      </c>
      <c r="J22" s="17" t="s">
        <v>680</v>
      </c>
      <c r="K22" s="17" t="s">
        <v>397</v>
      </c>
      <c r="L22" s="17" t="s">
        <v>533</v>
      </c>
      <c r="M22" s="17" t="s">
        <v>95</v>
      </c>
      <c r="N22" s="17" t="s">
        <v>400</v>
      </c>
      <c r="O22" s="17" t="s">
        <v>188</v>
      </c>
      <c r="P22" s="17" t="s">
        <v>127</v>
      </c>
      <c r="Q22" s="17" t="s">
        <v>740</v>
      </c>
      <c r="R22" s="17" t="s">
        <v>677</v>
      </c>
      <c r="S22" s="17">
        <v>6</v>
      </c>
      <c r="T22" s="17" t="s">
        <v>786</v>
      </c>
      <c r="U22" s="17" t="str" cm="1">
        <f t="array" ref="U22">_xlfn.REGEXEXTRACT(B22,"(?&lt;=//)[^/]+")</f>
        <v>abjav.com</v>
      </c>
    </row>
    <row r="23" spans="1:21" ht="45" x14ac:dyDescent="0.25">
      <c r="A23" s="17" t="str">
        <f>IF(ISBLANK(R23)=TRUE,"Pending","Done")</f>
        <v>Done</v>
      </c>
      <c r="B23" s="17" t="s">
        <v>202</v>
      </c>
      <c r="C23" s="17">
        <v>83</v>
      </c>
      <c r="D23" s="17" t="s">
        <v>203</v>
      </c>
      <c r="E23" s="17" t="s">
        <v>446</v>
      </c>
      <c r="F23" s="17" t="s">
        <v>77</v>
      </c>
      <c r="G23" s="17" t="s">
        <v>77</v>
      </c>
      <c r="H23" s="17" t="s">
        <v>116</v>
      </c>
      <c r="I23" s="17" t="s">
        <v>153</v>
      </c>
      <c r="J23" s="17" t="s">
        <v>173</v>
      </c>
      <c r="K23" s="17" t="s">
        <v>118</v>
      </c>
      <c r="L23" s="17" t="s">
        <v>206</v>
      </c>
      <c r="M23" s="17" t="s">
        <v>208</v>
      </c>
      <c r="N23" s="17" t="s">
        <v>207</v>
      </c>
      <c r="O23" s="17" t="s">
        <v>169</v>
      </c>
      <c r="P23" s="17" t="s">
        <v>204</v>
      </c>
      <c r="Q23" s="17" t="s">
        <v>205</v>
      </c>
      <c r="R23" s="17" t="s">
        <v>91</v>
      </c>
      <c r="S23" s="17">
        <v>6</v>
      </c>
      <c r="T23" s="17" t="s">
        <v>249</v>
      </c>
      <c r="U23" s="17" t="str" cm="1">
        <f t="array" ref="U23">_xlfn.REGEXEXTRACT(B23,"(?&lt;=//)[^/]+")</f>
        <v>www.pornhits.com</v>
      </c>
    </row>
    <row r="24" spans="1:21" ht="45" x14ac:dyDescent="0.25">
      <c r="A24" s="17" t="str">
        <f>IF(ISBLANK(R24)=TRUE,"Pending","Done")</f>
        <v>Done</v>
      </c>
      <c r="B24" s="17" t="s">
        <v>34</v>
      </c>
      <c r="C24" s="17">
        <v>66</v>
      </c>
      <c r="D24" s="17" t="s">
        <v>148</v>
      </c>
      <c r="E24" s="17" t="s">
        <v>617</v>
      </c>
      <c r="F24" s="17" t="s">
        <v>77</v>
      </c>
      <c r="G24" s="17" t="s">
        <v>77</v>
      </c>
      <c r="H24" s="17" t="s">
        <v>116</v>
      </c>
      <c r="I24" s="17" t="s">
        <v>133</v>
      </c>
      <c r="J24" s="17" t="s">
        <v>134</v>
      </c>
      <c r="K24" s="17" t="s">
        <v>102</v>
      </c>
      <c r="L24" s="17" t="s">
        <v>498</v>
      </c>
      <c r="M24" s="17" t="s">
        <v>118</v>
      </c>
      <c r="N24" s="17" t="s">
        <v>173</v>
      </c>
      <c r="O24" s="17" t="s">
        <v>492</v>
      </c>
      <c r="P24" s="17" t="s">
        <v>77</v>
      </c>
      <c r="Q24" s="17" t="s">
        <v>188</v>
      </c>
      <c r="R24" s="17" t="s">
        <v>91</v>
      </c>
      <c r="S24" s="17">
        <v>6</v>
      </c>
      <c r="T24" s="17" t="s">
        <v>620</v>
      </c>
      <c r="U24" s="17" t="str" cm="1">
        <f t="array" ref="U24">_xlfn.REGEXEXTRACT(B24,"(?&lt;=//)[^/]+")</f>
        <v>heavyfetish.com</v>
      </c>
    </row>
    <row r="25" spans="1:21" ht="45" x14ac:dyDescent="0.25">
      <c r="A25" s="17" t="str">
        <f>IF(ISBLANK(R25)=TRUE,"Pending","Done")</f>
        <v>Done</v>
      </c>
      <c r="B25" s="17" t="s">
        <v>11</v>
      </c>
      <c r="C25" s="17">
        <v>57</v>
      </c>
      <c r="D25" s="17" t="s">
        <v>525</v>
      </c>
      <c r="E25" s="17" t="s">
        <v>574</v>
      </c>
      <c r="F25" s="17" t="s">
        <v>77</v>
      </c>
      <c r="G25" s="17" t="s">
        <v>77</v>
      </c>
      <c r="H25" s="17" t="s">
        <v>117</v>
      </c>
      <c r="I25" s="17" t="s">
        <v>152</v>
      </c>
      <c r="J25" s="17" t="s">
        <v>134</v>
      </c>
      <c r="K25" s="17" t="s">
        <v>143</v>
      </c>
      <c r="L25" s="17" t="s">
        <v>165</v>
      </c>
      <c r="M25" s="17" t="s">
        <v>101</v>
      </c>
      <c r="N25" s="17" t="s">
        <v>107</v>
      </c>
      <c r="O25" s="17" t="s">
        <v>510</v>
      </c>
      <c r="P25" s="17" t="s">
        <v>126</v>
      </c>
      <c r="Q25" s="17" t="s">
        <v>437</v>
      </c>
      <c r="R25" s="17" t="s">
        <v>91</v>
      </c>
      <c r="S25" s="17">
        <v>6</v>
      </c>
      <c r="T25" s="17" t="s">
        <v>577</v>
      </c>
      <c r="U25" s="17" t="str" cm="1">
        <f t="array" ref="U25">_xlfn.REGEXEXTRACT(B25,"(?&lt;=//)[^/]+")</f>
        <v>heavyfetish.com</v>
      </c>
    </row>
    <row r="26" spans="1:21" ht="45" x14ac:dyDescent="0.25">
      <c r="A26" s="17" t="str">
        <f>IF(ISBLANK(R26)=TRUE,"Pending","Done")</f>
        <v>Done</v>
      </c>
      <c r="B26" s="17" t="s">
        <v>13</v>
      </c>
      <c r="C26" s="17">
        <v>56</v>
      </c>
      <c r="D26" s="17" t="s">
        <v>131</v>
      </c>
      <c r="E26" s="17" t="s">
        <v>561</v>
      </c>
      <c r="F26" s="17" t="s">
        <v>77</v>
      </c>
      <c r="G26" s="17" t="s">
        <v>77</v>
      </c>
      <c r="H26" s="17" t="s">
        <v>117</v>
      </c>
      <c r="I26" s="17" t="s">
        <v>467</v>
      </c>
      <c r="J26" s="17" t="s">
        <v>259</v>
      </c>
      <c r="K26" s="17" t="s">
        <v>499</v>
      </c>
      <c r="L26" s="17" t="s">
        <v>545</v>
      </c>
      <c r="M26" s="17" t="s">
        <v>564</v>
      </c>
      <c r="N26" s="17" t="s">
        <v>566</v>
      </c>
      <c r="O26" s="17" t="s">
        <v>128</v>
      </c>
      <c r="P26" s="17" t="s">
        <v>563</v>
      </c>
      <c r="Q26" s="17" t="s">
        <v>604</v>
      </c>
      <c r="R26" s="17" t="s">
        <v>91</v>
      </c>
      <c r="S26" s="17">
        <v>6</v>
      </c>
      <c r="T26" s="17" t="s">
        <v>565</v>
      </c>
      <c r="U26" s="17" t="str" cm="1">
        <f t="array" ref="U26">_xlfn.REGEXEXTRACT(B26,"(?&lt;=//)[^/]+")</f>
        <v>heavyfetish.com</v>
      </c>
    </row>
    <row r="27" spans="1:21" ht="30" x14ac:dyDescent="0.25">
      <c r="A27" s="17" t="str">
        <f>IF(ISBLANK(R27)=TRUE,"Pending","Done")</f>
        <v>Done</v>
      </c>
      <c r="B27" s="17" t="s">
        <v>132</v>
      </c>
      <c r="C27" s="17">
        <v>53</v>
      </c>
      <c r="D27" s="17" t="s">
        <v>131</v>
      </c>
      <c r="E27" s="17" t="s">
        <v>448</v>
      </c>
      <c r="F27" s="17" t="s">
        <v>77</v>
      </c>
      <c r="G27" s="17" t="s">
        <v>77</v>
      </c>
      <c r="H27" s="17" t="s">
        <v>116</v>
      </c>
      <c r="I27" s="17" t="s">
        <v>146</v>
      </c>
      <c r="J27" s="17" t="s">
        <v>133</v>
      </c>
      <c r="K27" s="17" t="s">
        <v>134</v>
      </c>
      <c r="L27" s="17" t="s">
        <v>135</v>
      </c>
      <c r="M27" s="17" t="s">
        <v>136</v>
      </c>
      <c r="N27" s="17" t="s">
        <v>100</v>
      </c>
      <c r="O27" s="17" t="s">
        <v>138</v>
      </c>
      <c r="P27" s="17" t="s">
        <v>127</v>
      </c>
      <c r="Q27" s="17" t="s">
        <v>137</v>
      </c>
      <c r="R27" s="17" t="s">
        <v>91</v>
      </c>
      <c r="S27" s="17">
        <v>6</v>
      </c>
      <c r="T27" s="17" t="s">
        <v>241</v>
      </c>
      <c r="U27" s="17" t="str" cm="1">
        <f t="array" ref="U27">_xlfn.REGEXEXTRACT(B27,"(?&lt;=//)[^/]+")</f>
        <v>abxxx.com</v>
      </c>
    </row>
    <row r="28" spans="1:21" ht="45" x14ac:dyDescent="0.25">
      <c r="A28" s="17" t="str">
        <f>IF(ISBLANK(R28)=TRUE,"Pending","Done")</f>
        <v>Done</v>
      </c>
      <c r="B28" s="17" t="s">
        <v>23</v>
      </c>
      <c r="C28" s="17">
        <v>53</v>
      </c>
      <c r="D28" s="17" t="s">
        <v>114</v>
      </c>
      <c r="E28" s="17" t="s">
        <v>449</v>
      </c>
      <c r="F28" s="17" t="s">
        <v>457</v>
      </c>
      <c r="G28" s="17" t="s">
        <v>77</v>
      </c>
      <c r="H28" s="17" t="s">
        <v>115</v>
      </c>
      <c r="I28" s="17" t="s">
        <v>646</v>
      </c>
      <c r="J28" s="17" t="s">
        <v>359</v>
      </c>
      <c r="K28" s="17" t="s">
        <v>125</v>
      </c>
      <c r="L28" s="17" t="s">
        <v>121</v>
      </c>
      <c r="M28" s="17" t="s">
        <v>124</v>
      </c>
      <c r="N28" s="17" t="s">
        <v>77</v>
      </c>
      <c r="O28" s="17" t="s">
        <v>155</v>
      </c>
      <c r="P28" s="17" t="s">
        <v>123</v>
      </c>
      <c r="Q28" s="17" t="s">
        <v>122</v>
      </c>
      <c r="R28" s="17" t="s">
        <v>91</v>
      </c>
      <c r="S28" s="17">
        <v>6</v>
      </c>
      <c r="T28" s="17" t="s">
        <v>240</v>
      </c>
      <c r="U28" s="17" t="str" cm="1">
        <f t="array" ref="U28">_xlfn.REGEXEXTRACT(B28,"(?&lt;=//)[^/]+")</f>
        <v>bdsmstreak.com</v>
      </c>
    </row>
    <row r="29" spans="1:21" ht="30" x14ac:dyDescent="0.25">
      <c r="A29" s="17" t="str">
        <f>IF(ISBLANK(R29)=TRUE,"Pending","Done")</f>
        <v>Done</v>
      </c>
      <c r="B29" s="17" t="s">
        <v>65</v>
      </c>
      <c r="C29" s="17">
        <v>49</v>
      </c>
      <c r="D29" s="17" t="s">
        <v>181</v>
      </c>
      <c r="E29" s="17" t="s">
        <v>167</v>
      </c>
      <c r="F29" s="17" t="s">
        <v>77</v>
      </c>
      <c r="G29" s="17" t="s">
        <v>77</v>
      </c>
      <c r="H29" s="17" t="s">
        <v>115</v>
      </c>
      <c r="I29" s="17" t="s">
        <v>182</v>
      </c>
      <c r="J29" s="17" t="s">
        <v>119</v>
      </c>
      <c r="K29" s="17" t="s">
        <v>183</v>
      </c>
      <c r="L29" s="17" t="s">
        <v>120</v>
      </c>
      <c r="M29" s="17" t="s">
        <v>100</v>
      </c>
      <c r="N29" s="17" t="s">
        <v>77</v>
      </c>
      <c r="O29" s="17" t="s">
        <v>169</v>
      </c>
      <c r="P29" s="17" t="s">
        <v>184</v>
      </c>
      <c r="Q29" s="17" t="s">
        <v>185</v>
      </c>
      <c r="R29" s="17" t="s">
        <v>91</v>
      </c>
      <c r="S29" s="17">
        <v>6</v>
      </c>
      <c r="T29" s="17" t="s">
        <v>246</v>
      </c>
      <c r="U29" s="17" t="str" cm="1">
        <f t="array" ref="U29">_xlfn.REGEXEXTRACT(B29,"(?&lt;=//)[^/]+")</f>
        <v>bdsmstreak.com</v>
      </c>
    </row>
    <row r="30" spans="1:21" ht="45" x14ac:dyDescent="0.25">
      <c r="A30" s="17" t="str">
        <f>IF(ISBLANK(R30)=TRUE,"Pending","Done")</f>
        <v>Done</v>
      </c>
      <c r="B30" s="17" t="s">
        <v>5</v>
      </c>
      <c r="C30" s="17">
        <v>48</v>
      </c>
      <c r="D30" s="17" t="s">
        <v>348</v>
      </c>
      <c r="E30" s="17" t="s">
        <v>522</v>
      </c>
      <c r="F30" s="17" t="s">
        <v>77</v>
      </c>
      <c r="G30" s="17" t="s">
        <v>77</v>
      </c>
      <c r="H30" s="17" t="s">
        <v>116</v>
      </c>
      <c r="I30" s="17" t="s">
        <v>134</v>
      </c>
      <c r="J30" s="17" t="s">
        <v>183</v>
      </c>
      <c r="K30" s="17" t="s">
        <v>523</v>
      </c>
      <c r="L30" s="17" t="s">
        <v>102</v>
      </c>
      <c r="M30" s="17" t="s">
        <v>153</v>
      </c>
      <c r="N30" s="17" t="s">
        <v>77</v>
      </c>
      <c r="O30" s="17" t="s">
        <v>394</v>
      </c>
      <c r="P30" s="17" t="s">
        <v>504</v>
      </c>
      <c r="Q30" s="17" t="s">
        <v>228</v>
      </c>
      <c r="R30" s="17" t="s">
        <v>91</v>
      </c>
      <c r="S30" s="17">
        <v>6</v>
      </c>
      <c r="T30" s="17" t="s">
        <v>524</v>
      </c>
      <c r="U30" s="17" t="str" cm="1">
        <f t="array" ref="U30">_xlfn.REGEXEXTRACT(B30,"(?&lt;=//)[^/]+")</f>
        <v>heavyfetish.com</v>
      </c>
    </row>
    <row r="31" spans="1:21" ht="30" x14ac:dyDescent="0.25">
      <c r="A31" s="17" t="str">
        <f>IF(ISBLANK(R31)=TRUE,"Pending","Done")</f>
        <v>Done</v>
      </c>
      <c r="B31" s="17" t="s">
        <v>17</v>
      </c>
      <c r="C31" s="17">
        <v>46</v>
      </c>
      <c r="D31" s="17" t="s">
        <v>235</v>
      </c>
      <c r="E31" s="17" t="s">
        <v>347</v>
      </c>
      <c r="F31" s="17" t="s">
        <v>77</v>
      </c>
      <c r="G31" s="17" t="s">
        <v>77</v>
      </c>
      <c r="H31" s="17" t="s">
        <v>116</v>
      </c>
      <c r="I31" s="17" t="s">
        <v>133</v>
      </c>
      <c r="J31" s="17" t="s">
        <v>159</v>
      </c>
      <c r="K31" s="17" t="s">
        <v>183</v>
      </c>
      <c r="L31" s="17" t="s">
        <v>107</v>
      </c>
      <c r="M31" s="17" t="s">
        <v>161</v>
      </c>
      <c r="N31" s="17" t="s">
        <v>100</v>
      </c>
      <c r="O31" s="17" t="s">
        <v>394</v>
      </c>
      <c r="P31" s="17" t="s">
        <v>505</v>
      </c>
      <c r="Q31" s="17" t="s">
        <v>506</v>
      </c>
      <c r="R31" s="17" t="s">
        <v>91</v>
      </c>
      <c r="S31" s="17">
        <v>6</v>
      </c>
      <c r="T31" s="17" t="s">
        <v>570</v>
      </c>
      <c r="U31" s="17" t="str" cm="1">
        <f t="array" ref="U31">_xlfn.REGEXEXTRACT(B31,"(?&lt;=//)[^/]+")</f>
        <v>heavyfetish.com</v>
      </c>
    </row>
    <row r="32" spans="1:21" ht="30" x14ac:dyDescent="0.25">
      <c r="A32" s="17" t="str">
        <f>IF(ISBLANK(R32)=TRUE,"Pending","Done")</f>
        <v>Done</v>
      </c>
      <c r="B32" s="17" t="s">
        <v>284</v>
      </c>
      <c r="C32" s="17">
        <v>45</v>
      </c>
      <c r="D32" s="17" t="s">
        <v>493</v>
      </c>
      <c r="E32" s="17" t="s">
        <v>347</v>
      </c>
      <c r="F32" s="17" t="s">
        <v>77</v>
      </c>
      <c r="G32" s="17" t="s">
        <v>77</v>
      </c>
      <c r="H32" s="17" t="s">
        <v>116</v>
      </c>
      <c r="I32" s="17" t="s">
        <v>134</v>
      </c>
      <c r="J32" s="17" t="s">
        <v>100</v>
      </c>
      <c r="K32" s="17" t="s">
        <v>491</v>
      </c>
      <c r="L32" s="17" t="s">
        <v>353</v>
      </c>
      <c r="M32" s="17" t="s">
        <v>572</v>
      </c>
      <c r="N32" s="17" t="s">
        <v>492</v>
      </c>
      <c r="O32" s="17" t="s">
        <v>169</v>
      </c>
      <c r="P32" s="17" t="s">
        <v>489</v>
      </c>
      <c r="Q32" s="17" t="s">
        <v>394</v>
      </c>
      <c r="R32" s="17" t="s">
        <v>91</v>
      </c>
      <c r="S32" s="17">
        <v>6</v>
      </c>
      <c r="T32" s="17" t="s">
        <v>490</v>
      </c>
      <c r="U32" s="17" t="str" cm="1">
        <f t="array" ref="U32">_xlfn.REGEXEXTRACT(B32,"(?&lt;=//)[^/]+")</f>
        <v>m.hqporner.com</v>
      </c>
    </row>
    <row r="33" spans="1:21" ht="30" x14ac:dyDescent="0.25">
      <c r="A33" s="17" t="str">
        <f>IF(ISBLANK(R33)=TRUE,"Pending","Done")</f>
        <v>Done</v>
      </c>
      <c r="B33" s="17" t="s">
        <v>46</v>
      </c>
      <c r="C33" s="17">
        <v>44</v>
      </c>
      <c r="D33" s="17" t="s">
        <v>440</v>
      </c>
      <c r="E33" s="17" t="s">
        <v>441</v>
      </c>
      <c r="F33" s="17" t="s">
        <v>77</v>
      </c>
      <c r="G33" s="17" t="s">
        <v>77</v>
      </c>
      <c r="H33" s="17" t="s">
        <v>116</v>
      </c>
      <c r="I33" s="17" t="s">
        <v>118</v>
      </c>
      <c r="J33" s="17" t="s">
        <v>353</v>
      </c>
      <c r="K33" s="17" t="s">
        <v>143</v>
      </c>
      <c r="L33" s="17" t="s">
        <v>463</v>
      </c>
      <c r="M33" s="17" t="s">
        <v>100</v>
      </c>
      <c r="N33" s="17" t="s">
        <v>107</v>
      </c>
      <c r="O33" s="17" t="s">
        <v>437</v>
      </c>
      <c r="P33" s="17" t="s">
        <v>166</v>
      </c>
      <c r="Q33" s="17" t="s">
        <v>148</v>
      </c>
      <c r="R33" s="17" t="s">
        <v>91</v>
      </c>
      <c r="S33" s="17">
        <v>6</v>
      </c>
      <c r="T33" s="17" t="s">
        <v>442</v>
      </c>
      <c r="U33" s="17" t="str" cm="1">
        <f t="array" ref="U33">_xlfn.REGEXEXTRACT(B33,"(?&lt;=//)[^/]+")</f>
        <v>heavyfetish.com</v>
      </c>
    </row>
    <row r="34" spans="1:21" ht="45" x14ac:dyDescent="0.25">
      <c r="A34" s="17" t="str">
        <f>IF(ISBLANK(R34)=TRUE,"Pending","Done")</f>
        <v>Done</v>
      </c>
      <c r="B34" s="17" t="s">
        <v>309</v>
      </c>
      <c r="C34" s="17">
        <v>40</v>
      </c>
      <c r="D34" s="17" t="s">
        <v>421</v>
      </c>
      <c r="E34" s="17" t="s">
        <v>365</v>
      </c>
      <c r="F34" s="17" t="s">
        <v>77</v>
      </c>
      <c r="G34" s="17" t="s">
        <v>77</v>
      </c>
      <c r="H34" s="17" t="s">
        <v>368</v>
      </c>
      <c r="I34" s="17" t="s">
        <v>646</v>
      </c>
      <c r="J34" s="17" t="s">
        <v>120</v>
      </c>
      <c r="K34" s="17" t="s">
        <v>266</v>
      </c>
      <c r="L34" s="17" t="s">
        <v>423</v>
      </c>
      <c r="M34" s="17" t="s">
        <v>119</v>
      </c>
      <c r="N34" s="17" t="s">
        <v>389</v>
      </c>
      <c r="O34" s="17" t="s">
        <v>414</v>
      </c>
      <c r="P34" s="17" t="s">
        <v>394</v>
      </c>
      <c r="Q34" s="17">
        <v>69</v>
      </c>
      <c r="R34" s="17" t="s">
        <v>91</v>
      </c>
      <c r="S34" s="17">
        <v>6</v>
      </c>
      <c r="T34" s="17" t="s">
        <v>422</v>
      </c>
      <c r="U34" s="17" t="str" cm="1">
        <f t="array" ref="U34">_xlfn.REGEXEXTRACT(B34,"(?&lt;=//)[^/]+")</f>
        <v>www.tnaflix.com</v>
      </c>
    </row>
    <row r="35" spans="1:21" ht="45" x14ac:dyDescent="0.25">
      <c r="A35" s="17" t="str">
        <f>IF(ISBLANK(R35)=TRUE,"Pending","Done")</f>
        <v>Done</v>
      </c>
      <c r="B35" s="17" t="s">
        <v>15</v>
      </c>
      <c r="C35" s="17">
        <v>39</v>
      </c>
      <c r="D35" s="17" t="s">
        <v>147</v>
      </c>
      <c r="E35" s="17" t="s">
        <v>418</v>
      </c>
      <c r="F35" s="17" t="s">
        <v>77</v>
      </c>
      <c r="G35" s="17" t="s">
        <v>77</v>
      </c>
      <c r="H35" s="17" t="s">
        <v>116</v>
      </c>
      <c r="I35" s="17" t="s">
        <v>133</v>
      </c>
      <c r="J35" s="17" t="s">
        <v>107</v>
      </c>
      <c r="K35" s="17" t="s">
        <v>102</v>
      </c>
      <c r="L35" s="17" t="s">
        <v>134</v>
      </c>
      <c r="M35" s="17" t="s">
        <v>353</v>
      </c>
      <c r="N35" s="17" t="s">
        <v>100</v>
      </c>
      <c r="O35" s="17" t="s">
        <v>419</v>
      </c>
      <c r="P35" s="17" t="s">
        <v>394</v>
      </c>
      <c r="Q35" s="17" t="s">
        <v>322</v>
      </c>
      <c r="R35" s="17" t="s">
        <v>91</v>
      </c>
      <c r="S35" s="17">
        <v>6</v>
      </c>
      <c r="T35" s="17" t="s">
        <v>420</v>
      </c>
      <c r="U35" s="17" t="str" cm="1">
        <f t="array" ref="U35">_xlfn.REGEXEXTRACT(B35,"(?&lt;=//)[^/]+")</f>
        <v>heavyfetish.com</v>
      </c>
    </row>
    <row r="36" spans="1:21" ht="30" x14ac:dyDescent="0.25">
      <c r="A36" s="17" t="str">
        <f>IF(ISBLANK(R36)=TRUE,"Pending","Done")</f>
        <v>Done</v>
      </c>
      <c r="B36" s="17" t="s">
        <v>653</v>
      </c>
      <c r="C36" s="17">
        <v>20</v>
      </c>
      <c r="D36" s="17" t="s">
        <v>729</v>
      </c>
      <c r="E36" s="17" t="s">
        <v>729</v>
      </c>
      <c r="F36" s="17" t="s">
        <v>77</v>
      </c>
      <c r="G36" s="17" t="s">
        <v>77</v>
      </c>
      <c r="H36" s="17" t="s">
        <v>116</v>
      </c>
      <c r="I36" s="17" t="s">
        <v>666</v>
      </c>
      <c r="J36" s="17" t="s">
        <v>632</v>
      </c>
      <c r="K36" s="17" t="s">
        <v>667</v>
      </c>
      <c r="L36" s="17" t="s">
        <v>77</v>
      </c>
      <c r="M36" s="17" t="s">
        <v>77</v>
      </c>
      <c r="N36" s="17" t="s">
        <v>77</v>
      </c>
      <c r="O36" s="17" t="s">
        <v>437</v>
      </c>
      <c r="P36" s="17" t="s">
        <v>668</v>
      </c>
      <c r="Q36" s="17" t="s">
        <v>127</v>
      </c>
      <c r="R36" s="17" t="s">
        <v>665</v>
      </c>
      <c r="S36" s="17">
        <v>6</v>
      </c>
      <c r="T36" s="17" t="s">
        <v>669</v>
      </c>
      <c r="U36" s="17" t="str" cm="1">
        <f t="array" ref="U36">_xlfn.REGEXEXTRACT(B36,"(?&lt;=//)[^/]+")</f>
        <v>punishworld.com</v>
      </c>
    </row>
    <row r="37" spans="1:21" ht="30" x14ac:dyDescent="0.25">
      <c r="A37" s="17" t="str">
        <f>IF(ISBLANK(R37)=TRUE,"Pending","Done")</f>
        <v>Done</v>
      </c>
      <c r="B37" s="17" t="s">
        <v>314</v>
      </c>
      <c r="C37" s="17">
        <v>0</v>
      </c>
      <c r="D37" s="17" t="s">
        <v>796</v>
      </c>
      <c r="E37" s="17" t="s">
        <v>408</v>
      </c>
      <c r="F37" s="17" t="s">
        <v>77</v>
      </c>
      <c r="G37" s="17" t="s">
        <v>77</v>
      </c>
      <c r="H37" s="17" t="s">
        <v>367</v>
      </c>
      <c r="I37" s="17" t="s">
        <v>605</v>
      </c>
      <c r="J37" s="17" t="s">
        <v>120</v>
      </c>
      <c r="K37" s="17" t="s">
        <v>389</v>
      </c>
      <c r="L37" s="17" t="s">
        <v>266</v>
      </c>
      <c r="M37" s="17" t="s">
        <v>606</v>
      </c>
      <c r="N37" s="17" t="s">
        <v>607</v>
      </c>
      <c r="O37" s="17" t="s">
        <v>128</v>
      </c>
      <c r="P37" s="17" t="s">
        <v>127</v>
      </c>
      <c r="Q37" s="17" t="s">
        <v>415</v>
      </c>
      <c r="R37" s="17" t="s">
        <v>91</v>
      </c>
      <c r="S37" s="17">
        <v>6</v>
      </c>
      <c r="T37" s="17" t="s">
        <v>608</v>
      </c>
      <c r="U37" s="17" t="str" cm="1">
        <f t="array" ref="U37">_xlfn.REGEXEXTRACT(B37,"(?&lt;=//)[^/]+")</f>
        <v>pornxp.com</v>
      </c>
    </row>
    <row r="38" spans="1:21" ht="30" x14ac:dyDescent="0.25">
      <c r="A38" s="17" t="str">
        <f>IF(ISBLANK(R38)=TRUE,"Pending","Done")</f>
        <v>Done</v>
      </c>
      <c r="B38" s="17" t="s">
        <v>691</v>
      </c>
      <c r="C38" s="17">
        <v>0</v>
      </c>
      <c r="D38" s="17" t="s">
        <v>692</v>
      </c>
      <c r="E38" s="17" t="s">
        <v>609</v>
      </c>
      <c r="F38" s="17" t="s">
        <v>77</v>
      </c>
      <c r="G38" s="17" t="s">
        <v>77</v>
      </c>
      <c r="H38" s="17" t="s">
        <v>192</v>
      </c>
      <c r="I38" s="17" t="s">
        <v>134</v>
      </c>
      <c r="J38" s="17" t="s">
        <v>95</v>
      </c>
      <c r="K38" s="17" t="s">
        <v>107</v>
      </c>
      <c r="L38" s="17" t="s">
        <v>705</v>
      </c>
      <c r="M38" s="17" t="s">
        <v>173</v>
      </c>
      <c r="N38" s="17" t="s">
        <v>102</v>
      </c>
      <c r="O38" s="17" t="s">
        <v>108</v>
      </c>
      <c r="P38" s="17" t="s">
        <v>127</v>
      </c>
      <c r="Q38" s="17" t="s">
        <v>205</v>
      </c>
      <c r="R38" s="17" t="s">
        <v>91</v>
      </c>
      <c r="S38" s="17">
        <v>6</v>
      </c>
      <c r="T38" s="17" t="s">
        <v>693</v>
      </c>
      <c r="U38" s="17" t="str" cm="1">
        <f t="array" ref="U38">_xlfn.REGEXEXTRACT(B38,"(?&lt;=//)[^/]+")</f>
        <v>www.txxx.porn</v>
      </c>
    </row>
    <row r="39" spans="1:21" ht="30" x14ac:dyDescent="0.25">
      <c r="A39" s="17" t="str">
        <f>IF(ISBLANK(R39)=TRUE,"Pending","Done")</f>
        <v>Done</v>
      </c>
      <c r="B39" s="17" t="s">
        <v>694</v>
      </c>
      <c r="C39" s="17">
        <v>0</v>
      </c>
      <c r="D39" s="17" t="s">
        <v>493</v>
      </c>
      <c r="E39" s="17" t="s">
        <v>609</v>
      </c>
      <c r="F39" s="17" t="s">
        <v>77</v>
      </c>
      <c r="G39" s="17" t="s">
        <v>77</v>
      </c>
      <c r="H39" s="17" t="s">
        <v>116</v>
      </c>
      <c r="I39" s="17" t="s">
        <v>112</v>
      </c>
      <c r="J39" s="17" t="s">
        <v>339</v>
      </c>
      <c r="K39" s="17" t="s">
        <v>100</v>
      </c>
      <c r="L39" s="17" t="s">
        <v>120</v>
      </c>
      <c r="M39" s="17" t="s">
        <v>373</v>
      </c>
      <c r="N39" s="17" t="s">
        <v>374</v>
      </c>
      <c r="O39" s="17" t="s">
        <v>188</v>
      </c>
      <c r="P39" s="17" t="s">
        <v>195</v>
      </c>
      <c r="Q39" s="17" t="s">
        <v>108</v>
      </c>
      <c r="R39" s="17" t="s">
        <v>91</v>
      </c>
      <c r="S39" s="17">
        <v>6</v>
      </c>
      <c r="T39" s="17" t="s">
        <v>697</v>
      </c>
      <c r="U39" s="17" t="str" cm="1">
        <f t="array" ref="U39">_xlfn.REGEXEXTRACT(B39,"(?&lt;=//)[^/]+")</f>
        <v>www.txxx.porn</v>
      </c>
    </row>
    <row r="40" spans="1:21" x14ac:dyDescent="0.25">
      <c r="A40" s="17" t="str">
        <f>IF(ISBLANK(R40)=TRUE,"Pending","Done")</f>
        <v>Done</v>
      </c>
      <c r="B40" s="17" t="s">
        <v>712</v>
      </c>
      <c r="C40" s="17">
        <v>0</v>
      </c>
      <c r="D40" s="17" t="s">
        <v>796</v>
      </c>
      <c r="E40" s="17" t="s">
        <v>609</v>
      </c>
      <c r="F40" s="17" t="s">
        <v>77</v>
      </c>
      <c r="G40" s="17" t="s">
        <v>77</v>
      </c>
      <c r="H40" s="17" t="s">
        <v>192</v>
      </c>
      <c r="I40" s="17" t="s">
        <v>736</v>
      </c>
      <c r="J40" s="17" t="s">
        <v>95</v>
      </c>
      <c r="K40" s="17" t="s">
        <v>120</v>
      </c>
      <c r="L40" s="17" t="s">
        <v>737</v>
      </c>
      <c r="M40" s="17" t="s">
        <v>519</v>
      </c>
      <c r="N40" s="17" t="s">
        <v>722</v>
      </c>
      <c r="O40" s="17" t="s">
        <v>127</v>
      </c>
      <c r="P40" s="17" t="s">
        <v>128</v>
      </c>
      <c r="Q40" s="17" t="s">
        <v>478</v>
      </c>
      <c r="R40" s="17" t="s">
        <v>91</v>
      </c>
      <c r="S40" s="17">
        <v>6</v>
      </c>
      <c r="T40" s="17" t="s">
        <v>738</v>
      </c>
      <c r="U40" s="17" t="str" cm="1">
        <f t="array" ref="U40">_xlfn.REGEXEXTRACT(B40,"(?&lt;=//)[^/]+")</f>
        <v>beeg.com</v>
      </c>
    </row>
    <row r="41" spans="1:21" ht="30" x14ac:dyDescent="0.25">
      <c r="A41" s="17" t="str">
        <f>IF(ISBLANK(R41)=TRUE,"Pending","Done")</f>
        <v>Done</v>
      </c>
      <c r="B41" s="17" t="s">
        <v>715</v>
      </c>
      <c r="C41" s="17">
        <v>0</v>
      </c>
      <c r="D41" s="17" t="s">
        <v>796</v>
      </c>
      <c r="E41" s="17" t="s">
        <v>609</v>
      </c>
      <c r="F41" s="17" t="s">
        <v>77</v>
      </c>
      <c r="G41" s="17" t="s">
        <v>77</v>
      </c>
      <c r="H41" s="17" t="s">
        <v>192</v>
      </c>
      <c r="I41" s="17" t="s">
        <v>745</v>
      </c>
      <c r="J41" s="17" t="s">
        <v>273</v>
      </c>
      <c r="K41" s="17" t="s">
        <v>746</v>
      </c>
      <c r="L41" s="17" t="s">
        <v>469</v>
      </c>
      <c r="M41" s="17" t="s">
        <v>612</v>
      </c>
      <c r="N41" s="17" t="s">
        <v>95</v>
      </c>
      <c r="O41" s="17" t="s">
        <v>437</v>
      </c>
      <c r="P41" s="17" t="s">
        <v>127</v>
      </c>
      <c r="Q41" s="17" t="s">
        <v>684</v>
      </c>
      <c r="R41" s="17" t="s">
        <v>91</v>
      </c>
      <c r="S41" s="17">
        <v>6</v>
      </c>
      <c r="T41" s="17" t="s">
        <v>747</v>
      </c>
      <c r="U41" s="17" t="str" cm="1">
        <f t="array" ref="U41">_xlfn.REGEXEXTRACT(B41,"(?&lt;=//)[^/]+")</f>
        <v>www.fuq.com</v>
      </c>
    </row>
    <row r="42" spans="1:21" ht="30" x14ac:dyDescent="0.25">
      <c r="A42" s="17" t="str">
        <f>IF(ISBLANK(R42)=TRUE,"Pending","Done")</f>
        <v>Done</v>
      </c>
      <c r="B42" s="17" t="s">
        <v>717</v>
      </c>
      <c r="C42" s="17">
        <v>0</v>
      </c>
      <c r="D42" s="17" t="s">
        <v>796</v>
      </c>
      <c r="E42" s="17" t="s">
        <v>609</v>
      </c>
      <c r="F42" s="17" t="s">
        <v>77</v>
      </c>
      <c r="G42" s="17" t="s">
        <v>77</v>
      </c>
      <c r="H42" s="17" t="s">
        <v>192</v>
      </c>
      <c r="I42" s="17" t="s">
        <v>95</v>
      </c>
      <c r="J42" s="17" t="s">
        <v>736</v>
      </c>
      <c r="K42" s="17" t="s">
        <v>753</v>
      </c>
      <c r="L42" s="17" t="s">
        <v>754</v>
      </c>
      <c r="M42" s="17" t="s">
        <v>755</v>
      </c>
      <c r="N42" s="17" t="s">
        <v>756</v>
      </c>
      <c r="O42" s="17" t="s">
        <v>127</v>
      </c>
      <c r="P42" s="17" t="s">
        <v>362</v>
      </c>
      <c r="Q42" s="17" t="s">
        <v>743</v>
      </c>
      <c r="R42" s="17" t="s">
        <v>91</v>
      </c>
      <c r="S42" s="17">
        <v>6</v>
      </c>
      <c r="T42" s="17" t="s">
        <v>757</v>
      </c>
      <c r="U42" s="17" t="str" cm="1">
        <f t="array" ref="U42">_xlfn.REGEXEXTRACT(B42,"(?&lt;=//)[^/]+")</f>
        <v>www.fuq.com</v>
      </c>
    </row>
    <row r="43" spans="1:21" ht="30" x14ac:dyDescent="0.25">
      <c r="A43" s="17" t="str">
        <f>IF(ISBLANK(R43)=TRUE,"Pending","Done")</f>
        <v>Done</v>
      </c>
      <c r="B43" s="17" t="s">
        <v>718</v>
      </c>
      <c r="C43" s="17">
        <v>0</v>
      </c>
      <c r="D43" s="17" t="s">
        <v>796</v>
      </c>
      <c r="E43" s="17" t="s">
        <v>609</v>
      </c>
      <c r="F43" s="17" t="s">
        <v>77</v>
      </c>
      <c r="G43" s="17" t="s">
        <v>77</v>
      </c>
      <c r="H43" s="17" t="s">
        <v>192</v>
      </c>
      <c r="I43" s="17" t="s">
        <v>736</v>
      </c>
      <c r="J43" s="17" t="s">
        <v>758</v>
      </c>
      <c r="K43" s="17" t="s">
        <v>759</v>
      </c>
      <c r="L43" s="17" t="s">
        <v>760</v>
      </c>
      <c r="M43" s="17" t="s">
        <v>761</v>
      </c>
      <c r="N43" s="17" t="s">
        <v>400</v>
      </c>
      <c r="O43" s="17" t="s">
        <v>127</v>
      </c>
      <c r="P43" s="17" t="s">
        <v>188</v>
      </c>
      <c r="Q43" s="17" t="s">
        <v>437</v>
      </c>
      <c r="R43" s="17" t="s">
        <v>91</v>
      </c>
      <c r="S43" s="17">
        <v>6</v>
      </c>
      <c r="T43" s="17" t="s">
        <v>762</v>
      </c>
      <c r="U43" s="17" t="str" cm="1">
        <f t="array" ref="U43">_xlfn.REGEXEXTRACT(B43,"(?&lt;=//)[^/]+")</f>
        <v>www.fuq.com</v>
      </c>
    </row>
    <row r="44" spans="1:21" ht="30" x14ac:dyDescent="0.25">
      <c r="A44" s="17" t="str">
        <f>IF(ISBLANK(R44)=TRUE,"Pending","Done")</f>
        <v>Done</v>
      </c>
      <c r="B44" s="17" t="s">
        <v>799</v>
      </c>
      <c r="C44" s="17">
        <v>0</v>
      </c>
      <c r="D44" s="17" t="s">
        <v>692</v>
      </c>
      <c r="E44" s="17" t="s">
        <v>609</v>
      </c>
      <c r="F44" s="17" t="s">
        <v>77</v>
      </c>
      <c r="G44" s="17" t="s">
        <v>77</v>
      </c>
      <c r="H44" s="17" t="s">
        <v>116</v>
      </c>
      <c r="I44" s="17" t="s">
        <v>118</v>
      </c>
      <c r="J44" s="17" t="s">
        <v>95</v>
      </c>
      <c r="K44" s="17" t="s">
        <v>102</v>
      </c>
      <c r="L44" s="17" t="s">
        <v>100</v>
      </c>
      <c r="M44" s="17" t="s">
        <v>77</v>
      </c>
      <c r="N44" s="17" t="s">
        <v>77</v>
      </c>
      <c r="O44" s="17" t="s">
        <v>188</v>
      </c>
      <c r="P44" s="17" t="s">
        <v>127</v>
      </c>
      <c r="Q44" s="17" t="s">
        <v>437</v>
      </c>
      <c r="R44" s="17" t="s">
        <v>91</v>
      </c>
      <c r="S44" s="17">
        <v>6</v>
      </c>
      <c r="T44" s="17" t="s">
        <v>800</v>
      </c>
      <c r="U44" s="17" t="str" cm="1">
        <f t="array" ref="U44">_xlfn.REGEXEXTRACT(B44,"(?&lt;=//)[^/]+")</f>
        <v>www.porntry.com</v>
      </c>
    </row>
    <row r="45" spans="1:21" ht="45" x14ac:dyDescent="0.25">
      <c r="A45" s="17" t="str">
        <f>IF(ISBLANK(R45)=TRUE,"Pending","Done")</f>
        <v>Done</v>
      </c>
      <c r="B45" s="17" t="s">
        <v>802</v>
      </c>
      <c r="C45" s="17">
        <v>51</v>
      </c>
      <c r="D45" s="17" t="s">
        <v>692</v>
      </c>
      <c r="E45" s="17" t="s">
        <v>808</v>
      </c>
      <c r="F45" s="17" t="s">
        <v>77</v>
      </c>
      <c r="G45" s="17" t="s">
        <v>77</v>
      </c>
      <c r="H45" s="17" t="s">
        <v>192</v>
      </c>
      <c r="I45" s="17" t="s">
        <v>173</v>
      </c>
      <c r="J45" s="17" t="s">
        <v>134</v>
      </c>
      <c r="K45" s="17" t="s">
        <v>705</v>
      </c>
      <c r="L45" s="17" t="s">
        <v>400</v>
      </c>
      <c r="M45" s="17" t="s">
        <v>95</v>
      </c>
      <c r="N45" s="17" t="s">
        <v>523</v>
      </c>
      <c r="O45" s="17" t="s">
        <v>437</v>
      </c>
      <c r="P45" s="17" t="s">
        <v>188</v>
      </c>
      <c r="Q45" s="17" t="s">
        <v>228</v>
      </c>
      <c r="R45" s="17" t="s">
        <v>91</v>
      </c>
      <c r="S45" s="17">
        <v>6</v>
      </c>
      <c r="T45" s="17" t="s">
        <v>809</v>
      </c>
      <c r="U45" s="17" t="str" cm="1">
        <f t="array" ref="U45">_xlfn.REGEXEXTRACT(B45,"(?&lt;=//)[^/]+")</f>
        <v>www.porntry.com</v>
      </c>
    </row>
    <row r="46" spans="1:21" ht="30" x14ac:dyDescent="0.25">
      <c r="A46" s="17" t="str">
        <f>IF(ISBLANK(R46)=TRUE,"Pending","Done")</f>
        <v>Done</v>
      </c>
      <c r="B46" s="17" t="s">
        <v>21</v>
      </c>
      <c r="C46" s="17">
        <v>129</v>
      </c>
      <c r="D46" s="17" t="s">
        <v>671</v>
      </c>
      <c r="E46" s="17" t="s">
        <v>729</v>
      </c>
      <c r="F46" s="17" t="s">
        <v>729</v>
      </c>
      <c r="G46" s="17" t="s">
        <v>77</v>
      </c>
      <c r="H46" s="17" t="s">
        <v>116</v>
      </c>
      <c r="I46" s="17" t="s">
        <v>646</v>
      </c>
      <c r="J46" s="17" t="s">
        <v>670</v>
      </c>
      <c r="K46" s="17" t="s">
        <v>173</v>
      </c>
      <c r="L46" s="17" t="s">
        <v>612</v>
      </c>
      <c r="M46" s="17" t="s">
        <v>327</v>
      </c>
      <c r="N46" s="17" t="s">
        <v>119</v>
      </c>
      <c r="O46" s="17" t="s">
        <v>228</v>
      </c>
      <c r="P46" s="17" t="s">
        <v>394</v>
      </c>
      <c r="Q46" s="17" t="s">
        <v>127</v>
      </c>
      <c r="R46" s="17" t="s">
        <v>677</v>
      </c>
      <c r="S46" s="17">
        <v>5</v>
      </c>
      <c r="T46" s="17" t="s">
        <v>676</v>
      </c>
      <c r="U46" s="17" t="str" cm="1">
        <f t="array" ref="U46">_xlfn.REGEXEXTRACT(B46,"(?&lt;=//)[^/]+")</f>
        <v>heavyfetish.com</v>
      </c>
    </row>
    <row r="47" spans="1:21" ht="30" x14ac:dyDescent="0.25">
      <c r="A47" s="17" t="str">
        <f>IF(ISBLANK(R47)=TRUE,"Pending","Done")</f>
        <v>Done</v>
      </c>
      <c r="B47" s="17" t="s">
        <v>734</v>
      </c>
      <c r="C47" s="17">
        <v>128</v>
      </c>
      <c r="D47" s="17" t="s">
        <v>729</v>
      </c>
      <c r="E47" s="17" t="s">
        <v>729</v>
      </c>
      <c r="F47" s="17" t="s">
        <v>729</v>
      </c>
      <c r="G47" s="17" t="s">
        <v>77</v>
      </c>
      <c r="H47" s="17" t="s">
        <v>382</v>
      </c>
      <c r="I47" s="17" t="s">
        <v>119</v>
      </c>
      <c r="J47" s="17" t="s">
        <v>327</v>
      </c>
      <c r="K47" s="17" t="s">
        <v>195</v>
      </c>
      <c r="L47" s="17" t="s">
        <v>161</v>
      </c>
      <c r="M47" s="17" t="s">
        <v>687</v>
      </c>
      <c r="N47" s="17" t="s">
        <v>688</v>
      </c>
      <c r="O47" s="17">
        <v>69</v>
      </c>
      <c r="P47" s="17" t="s">
        <v>228</v>
      </c>
      <c r="Q47" s="17" t="s">
        <v>188</v>
      </c>
      <c r="R47" s="17" t="s">
        <v>91</v>
      </c>
      <c r="S47" s="17">
        <v>5</v>
      </c>
      <c r="T47" s="17" t="s">
        <v>686</v>
      </c>
      <c r="U47" s="17" t="str" cm="1">
        <f t="array" ref="U47">_xlfn.REGEXEXTRACT(B47,"(?&lt;=//)[^/]+")</f>
        <v>heavyfetish.com</v>
      </c>
    </row>
    <row r="48" spans="1:21" ht="60" x14ac:dyDescent="0.25">
      <c r="A48" s="17" t="str">
        <f>IF(ISBLANK(R48)=TRUE,"Pending","Done")</f>
        <v>Done</v>
      </c>
      <c r="B48" s="17" t="s">
        <v>38</v>
      </c>
      <c r="C48" s="17">
        <v>116</v>
      </c>
      <c r="D48" s="17" t="s">
        <v>660</v>
      </c>
      <c r="E48" s="17" t="s">
        <v>661</v>
      </c>
      <c r="F48" s="17" t="s">
        <v>77</v>
      </c>
      <c r="G48" s="17" t="s">
        <v>77</v>
      </c>
      <c r="H48" s="17" t="s">
        <v>116</v>
      </c>
      <c r="I48" s="17" t="s">
        <v>485</v>
      </c>
      <c r="J48" s="17" t="s">
        <v>149</v>
      </c>
      <c r="K48" s="17" t="s">
        <v>659</v>
      </c>
      <c r="L48" s="17" t="s">
        <v>663</v>
      </c>
      <c r="M48" s="17" t="s">
        <v>102</v>
      </c>
      <c r="N48" s="17" t="s">
        <v>118</v>
      </c>
      <c r="O48" s="17" t="s">
        <v>582</v>
      </c>
      <c r="P48" s="17" t="s">
        <v>664</v>
      </c>
      <c r="Q48" s="17" t="s">
        <v>638</v>
      </c>
      <c r="R48" s="17" t="s">
        <v>91</v>
      </c>
      <c r="S48" s="17">
        <v>5</v>
      </c>
      <c r="T48" s="17" t="s">
        <v>662</v>
      </c>
      <c r="U48" s="17" t="str" cm="1">
        <f t="array" ref="U48">_xlfn.REGEXEXTRACT(B48,"(?&lt;=//)[^/]+")</f>
        <v>punishworld.com</v>
      </c>
    </row>
    <row r="49" spans="1:21" ht="45" x14ac:dyDescent="0.25">
      <c r="A49" s="17" t="str">
        <f>IF(ISBLANK(R49)=TRUE,"Pending","Done")</f>
        <v>Done</v>
      </c>
      <c r="B49" s="17" t="s">
        <v>14</v>
      </c>
      <c r="C49" s="17">
        <v>89</v>
      </c>
      <c r="D49" s="17" t="s">
        <v>131</v>
      </c>
      <c r="E49" s="17" t="s">
        <v>561</v>
      </c>
      <c r="F49" s="17" t="s">
        <v>217</v>
      </c>
      <c r="G49" s="17" t="s">
        <v>77</v>
      </c>
      <c r="H49" s="17" t="s">
        <v>116</v>
      </c>
      <c r="I49" s="17" t="s">
        <v>134</v>
      </c>
      <c r="J49" s="17" t="s">
        <v>647</v>
      </c>
      <c r="K49" s="17" t="s">
        <v>107</v>
      </c>
      <c r="L49" s="17" t="s">
        <v>173</v>
      </c>
      <c r="M49" s="17" t="s">
        <v>649</v>
      </c>
      <c r="N49" s="17" t="s">
        <v>650</v>
      </c>
      <c r="O49" s="17" t="s">
        <v>651</v>
      </c>
      <c r="P49" s="17" t="s">
        <v>582</v>
      </c>
      <c r="Q49" s="17" t="s">
        <v>652</v>
      </c>
      <c r="R49" s="17" t="s">
        <v>91</v>
      </c>
      <c r="S49" s="17">
        <v>5</v>
      </c>
      <c r="T49" s="17" t="s">
        <v>648</v>
      </c>
      <c r="U49" s="17" t="str" cm="1">
        <f t="array" ref="U49">_xlfn.REGEXEXTRACT(B49,"(?&lt;=//)[^/]+")</f>
        <v>heavyfetish.com</v>
      </c>
    </row>
    <row r="50" spans="1:21" ht="45" x14ac:dyDescent="0.25">
      <c r="A50" s="17" t="str">
        <f>IF(ISBLANK(R50)=TRUE,"Pending","Done")</f>
        <v>Done</v>
      </c>
      <c r="B50" s="17" t="s">
        <v>27</v>
      </c>
      <c r="C50" s="17">
        <v>65</v>
      </c>
      <c r="D50" s="17" t="s">
        <v>148</v>
      </c>
      <c r="E50" s="17" t="s">
        <v>593</v>
      </c>
      <c r="F50" s="17" t="s">
        <v>77</v>
      </c>
      <c r="G50" s="17" t="s">
        <v>77</v>
      </c>
      <c r="H50" s="17" t="s">
        <v>117</v>
      </c>
      <c r="I50" s="17" t="s">
        <v>118</v>
      </c>
      <c r="J50" s="17" t="s">
        <v>134</v>
      </c>
      <c r="K50" s="17" t="s">
        <v>102</v>
      </c>
      <c r="L50" s="17" t="s">
        <v>149</v>
      </c>
      <c r="M50" s="17" t="s">
        <v>161</v>
      </c>
      <c r="N50" s="17" t="s">
        <v>153</v>
      </c>
      <c r="O50" s="17" t="s">
        <v>510</v>
      </c>
      <c r="P50" s="17" t="s">
        <v>137</v>
      </c>
      <c r="Q50" s="17" t="s">
        <v>582</v>
      </c>
      <c r="R50" s="17" t="s">
        <v>91</v>
      </c>
      <c r="S50" s="17">
        <v>5</v>
      </c>
      <c r="T50" s="17" t="s">
        <v>603</v>
      </c>
      <c r="U50" s="17" t="str" cm="1">
        <f t="array" ref="U50">_xlfn.REGEXEXTRACT(B50,"(?&lt;=//)[^/]+")</f>
        <v>heavyfetish.com</v>
      </c>
    </row>
    <row r="51" spans="1:21" ht="45" x14ac:dyDescent="0.25">
      <c r="A51" s="17" t="str">
        <f>IF(ISBLANK(R51)=TRUE,"Pending","Done")</f>
        <v>Done</v>
      </c>
      <c r="B51" s="17" t="s">
        <v>19</v>
      </c>
      <c r="C51" s="17">
        <v>62</v>
      </c>
      <c r="D51" s="17" t="s">
        <v>148</v>
      </c>
      <c r="E51" s="17" t="s">
        <v>592</v>
      </c>
      <c r="F51" s="17" t="s">
        <v>77</v>
      </c>
      <c r="G51" s="17" t="s">
        <v>77</v>
      </c>
      <c r="H51" s="17" t="s">
        <v>116</v>
      </c>
      <c r="I51" s="17" t="s">
        <v>499</v>
      </c>
      <c r="J51" s="17" t="s">
        <v>134</v>
      </c>
      <c r="K51" s="17" t="s">
        <v>102</v>
      </c>
      <c r="L51" s="17" t="s">
        <v>107</v>
      </c>
      <c r="M51" s="17" t="s">
        <v>545</v>
      </c>
      <c r="N51" s="17" t="s">
        <v>153</v>
      </c>
      <c r="O51" s="17" t="s">
        <v>188</v>
      </c>
      <c r="P51" s="17" t="s">
        <v>126</v>
      </c>
      <c r="Q51" s="17" t="s">
        <v>362</v>
      </c>
      <c r="R51" s="17" t="s">
        <v>91</v>
      </c>
      <c r="S51" s="17">
        <v>5</v>
      </c>
      <c r="T51" s="17" t="s">
        <v>595</v>
      </c>
      <c r="U51" s="17" t="str" cm="1">
        <f t="array" ref="U51">_xlfn.REGEXEXTRACT(B51,"(?&lt;=//)[^/]+")</f>
        <v>heavyfetish.com</v>
      </c>
    </row>
    <row r="52" spans="1:21" ht="45" x14ac:dyDescent="0.25">
      <c r="A52" s="17" t="str">
        <f>IF(ISBLANK(R52)=TRUE,"Pending","Done")</f>
        <v>Done</v>
      </c>
      <c r="B52" s="17" t="s">
        <v>20</v>
      </c>
      <c r="C52" s="17">
        <v>60</v>
      </c>
      <c r="D52" s="17" t="s">
        <v>525</v>
      </c>
      <c r="E52" s="17" t="s">
        <v>590</v>
      </c>
      <c r="F52" s="17" t="s">
        <v>77</v>
      </c>
      <c r="G52" s="17" t="s">
        <v>77</v>
      </c>
      <c r="H52" s="17" t="s">
        <v>117</v>
      </c>
      <c r="I52" s="17" t="s">
        <v>118</v>
      </c>
      <c r="J52" s="17" t="s">
        <v>477</v>
      </c>
      <c r="K52" s="17" t="s">
        <v>152</v>
      </c>
      <c r="L52" s="17" t="s">
        <v>134</v>
      </c>
      <c r="M52" s="17" t="s">
        <v>129</v>
      </c>
      <c r="N52" s="17" t="s">
        <v>153</v>
      </c>
      <c r="O52" s="17" t="s">
        <v>126</v>
      </c>
      <c r="P52" s="17" t="s">
        <v>582</v>
      </c>
      <c r="Q52" s="17" t="s">
        <v>492</v>
      </c>
      <c r="R52" s="17" t="s">
        <v>91</v>
      </c>
      <c r="S52" s="17">
        <v>5</v>
      </c>
      <c r="T52" s="17" t="s">
        <v>591</v>
      </c>
      <c r="U52" s="17" t="str" cm="1">
        <f t="array" ref="U52">_xlfn.REGEXEXTRACT(B52,"(?&lt;=//)[^/]+")</f>
        <v>heavyfetish.com</v>
      </c>
    </row>
    <row r="53" spans="1:21" ht="45" x14ac:dyDescent="0.25">
      <c r="A53" s="17" t="str">
        <f>IF(ISBLANK(R53)=TRUE,"Pending","Done")</f>
        <v>Done</v>
      </c>
      <c r="B53" s="17" t="s">
        <v>30</v>
      </c>
      <c r="C53" s="17">
        <v>58</v>
      </c>
      <c r="D53" s="17" t="s">
        <v>131</v>
      </c>
      <c r="E53" s="17" t="s">
        <v>215</v>
      </c>
      <c r="F53" s="17" t="s">
        <v>216</v>
      </c>
      <c r="G53" s="17" t="s">
        <v>217</v>
      </c>
      <c r="H53" s="17" t="s">
        <v>116</v>
      </c>
      <c r="I53" s="17" t="s">
        <v>119</v>
      </c>
      <c r="J53" s="17" t="s">
        <v>102</v>
      </c>
      <c r="K53" s="17" t="s">
        <v>149</v>
      </c>
      <c r="L53" s="17" t="s">
        <v>153</v>
      </c>
      <c r="M53" s="17" t="s">
        <v>134</v>
      </c>
      <c r="N53" s="17" t="s">
        <v>160</v>
      </c>
      <c r="O53" s="17" t="s">
        <v>218</v>
      </c>
      <c r="P53" s="17" t="s">
        <v>77</v>
      </c>
      <c r="Q53" s="17" t="s">
        <v>77</v>
      </c>
      <c r="R53" s="17" t="s">
        <v>91</v>
      </c>
      <c r="S53" s="17">
        <v>5</v>
      </c>
      <c r="T53" s="17" t="s">
        <v>220</v>
      </c>
      <c r="U53" s="17" t="str" cm="1">
        <f t="array" ref="U53">_xlfn.REGEXEXTRACT(B53,"(?&lt;=//)[^/]+")</f>
        <v>bdsmstreak.com</v>
      </c>
    </row>
    <row r="54" spans="1:21" ht="30" x14ac:dyDescent="0.25">
      <c r="A54" s="17" t="str">
        <f>IF(ISBLANK(R54)=TRUE,"Pending","Done")</f>
        <v>Done</v>
      </c>
      <c r="B54" s="17" t="s">
        <v>76</v>
      </c>
      <c r="C54" s="17">
        <v>57</v>
      </c>
      <c r="D54" s="17" t="s">
        <v>190</v>
      </c>
      <c r="E54" s="17" t="s">
        <v>451</v>
      </c>
      <c r="F54" s="17" t="s">
        <v>77</v>
      </c>
      <c r="G54" s="17" t="s">
        <v>77</v>
      </c>
      <c r="H54" s="17" t="s">
        <v>192</v>
      </c>
      <c r="I54" s="17" t="s">
        <v>134</v>
      </c>
      <c r="J54" s="17" t="s">
        <v>198</v>
      </c>
      <c r="K54" s="17" t="s">
        <v>95</v>
      </c>
      <c r="L54" s="17" t="s">
        <v>200</v>
      </c>
      <c r="M54" s="17" t="s">
        <v>201</v>
      </c>
      <c r="N54" s="17" t="s">
        <v>119</v>
      </c>
      <c r="O54" s="17" t="s">
        <v>166</v>
      </c>
      <c r="P54" s="17" t="s">
        <v>199</v>
      </c>
      <c r="Q54" s="17" t="s">
        <v>77</v>
      </c>
      <c r="R54" s="17" t="s">
        <v>91</v>
      </c>
      <c r="S54" s="17">
        <v>5</v>
      </c>
      <c r="T54" s="17" t="s">
        <v>248</v>
      </c>
      <c r="U54" s="17" t="str" cm="1">
        <f t="array" ref="U54">_xlfn.REGEXEXTRACT(B54,"(?&lt;=//)[^/]+")</f>
        <v>bdsmstreak.com</v>
      </c>
    </row>
    <row r="55" spans="1:21" ht="30" x14ac:dyDescent="0.25">
      <c r="A55" s="17" t="str">
        <f>IF(ISBLANK(R55)=TRUE,"Pending","Done")</f>
        <v>Done</v>
      </c>
      <c r="B55" s="17" t="s">
        <v>305</v>
      </c>
      <c r="C55" s="17">
        <v>55</v>
      </c>
      <c r="D55" s="17" t="s">
        <v>131</v>
      </c>
      <c r="E55" s="17" t="s">
        <v>401</v>
      </c>
      <c r="F55" s="17" t="s">
        <v>77</v>
      </c>
      <c r="G55" s="17" t="s">
        <v>77</v>
      </c>
      <c r="H55" s="17" t="s">
        <v>116</v>
      </c>
      <c r="I55" s="17" t="s">
        <v>484</v>
      </c>
      <c r="J55" s="17" t="s">
        <v>153</v>
      </c>
      <c r="K55" s="17" t="s">
        <v>551</v>
      </c>
      <c r="L55" s="17" t="s">
        <v>553</v>
      </c>
      <c r="M55" s="17" t="s">
        <v>161</v>
      </c>
      <c r="N55" s="17" t="s">
        <v>554</v>
      </c>
      <c r="O55" s="17" t="s">
        <v>437</v>
      </c>
      <c r="P55" s="17" t="s">
        <v>550</v>
      </c>
      <c r="Q55" s="17" t="s">
        <v>103</v>
      </c>
      <c r="R55" s="17" t="s">
        <v>91</v>
      </c>
      <c r="S55" s="17">
        <v>5</v>
      </c>
      <c r="T55" s="17" t="s">
        <v>552</v>
      </c>
      <c r="U55" s="17" t="str" cm="1">
        <f t="array" ref="U55">_xlfn.REGEXEXTRACT(B55,"(?&lt;=//)[^/]+")</f>
        <v>curebdsm.com</v>
      </c>
    </row>
    <row r="56" spans="1:21" ht="30" x14ac:dyDescent="0.25">
      <c r="A56" s="17" t="str">
        <f>IF(ISBLANK(R56)=TRUE,"Pending","Done")</f>
        <v>Done</v>
      </c>
      <c r="B56" s="17" t="s">
        <v>43</v>
      </c>
      <c r="C56" s="17">
        <v>55</v>
      </c>
      <c r="D56" s="17" t="s">
        <v>729</v>
      </c>
      <c r="E56" s="17" t="s">
        <v>729</v>
      </c>
      <c r="F56" s="17" t="s">
        <v>77</v>
      </c>
      <c r="G56" s="17" t="s">
        <v>77</v>
      </c>
      <c r="H56" s="17" t="s">
        <v>117</v>
      </c>
      <c r="I56" s="17" t="s">
        <v>556</v>
      </c>
      <c r="J56" s="17" t="s">
        <v>118</v>
      </c>
      <c r="K56" s="17" t="s">
        <v>557</v>
      </c>
      <c r="L56" s="17" t="s">
        <v>152</v>
      </c>
      <c r="M56" s="17" t="s">
        <v>523</v>
      </c>
      <c r="N56" s="17" t="s">
        <v>482</v>
      </c>
      <c r="O56" s="17" t="s">
        <v>558</v>
      </c>
      <c r="P56" s="17" t="s">
        <v>510</v>
      </c>
      <c r="Q56" s="17" t="s">
        <v>559</v>
      </c>
      <c r="R56" s="17" t="s">
        <v>91</v>
      </c>
      <c r="S56" s="17">
        <v>5</v>
      </c>
      <c r="T56" s="17" t="s">
        <v>560</v>
      </c>
      <c r="U56" s="17" t="str" cm="1">
        <f t="array" ref="U56">_xlfn.REGEXEXTRACT(B56,"(?&lt;=//)[^/]+")</f>
        <v>spankbang.com</v>
      </c>
    </row>
    <row r="57" spans="1:21" ht="30" x14ac:dyDescent="0.25">
      <c r="A57" s="17" t="str">
        <f>IF(ISBLANK(R57)=TRUE,"Pending","Done")</f>
        <v>Done</v>
      </c>
      <c r="B57" s="17" t="s">
        <v>25</v>
      </c>
      <c r="C57" s="17">
        <v>51</v>
      </c>
      <c r="D57" s="17" t="s">
        <v>148</v>
      </c>
      <c r="E57" s="17" t="s">
        <v>528</v>
      </c>
      <c r="F57" s="17" t="s">
        <v>77</v>
      </c>
      <c r="G57" s="17" t="s">
        <v>77</v>
      </c>
      <c r="H57" s="17" t="s">
        <v>116</v>
      </c>
      <c r="I57" s="17" t="s">
        <v>134</v>
      </c>
      <c r="J57" s="17" t="s">
        <v>102</v>
      </c>
      <c r="K57" s="17" t="s">
        <v>159</v>
      </c>
      <c r="L57" s="17" t="s">
        <v>353</v>
      </c>
      <c r="M57" s="17" t="s">
        <v>266</v>
      </c>
      <c r="N57" s="17" t="s">
        <v>523</v>
      </c>
      <c r="O57" s="17" t="s">
        <v>571</v>
      </c>
      <c r="P57" s="17" t="s">
        <v>492</v>
      </c>
      <c r="Q57" s="17" t="s">
        <v>530</v>
      </c>
      <c r="R57" s="17" t="s">
        <v>91</v>
      </c>
      <c r="S57" s="17">
        <v>5</v>
      </c>
      <c r="T57" s="17" t="s">
        <v>529</v>
      </c>
      <c r="U57" s="17" t="str" cm="1">
        <f t="array" ref="U57">_xlfn.REGEXEXTRACT(B57,"(?&lt;=//)[^/]+")</f>
        <v>heavyfetish.com</v>
      </c>
    </row>
    <row r="58" spans="1:21" ht="30" x14ac:dyDescent="0.25">
      <c r="A58" s="17" t="str">
        <f>IF(ISBLANK(R58)=TRUE,"Pending","Done")</f>
        <v>Done</v>
      </c>
      <c r="B58" s="17" t="s">
        <v>41</v>
      </c>
      <c r="C58" s="17">
        <v>50</v>
      </c>
      <c r="D58" s="17" t="s">
        <v>525</v>
      </c>
      <c r="E58" s="17" t="s">
        <v>446</v>
      </c>
      <c r="F58" s="17" t="s">
        <v>77</v>
      </c>
      <c r="G58" s="17" t="s">
        <v>77</v>
      </c>
      <c r="H58" s="17" t="s">
        <v>117</v>
      </c>
      <c r="I58" s="17" t="s">
        <v>134</v>
      </c>
      <c r="J58" s="17" t="s">
        <v>102</v>
      </c>
      <c r="K58" s="17" t="s">
        <v>152</v>
      </c>
      <c r="L58" s="17" t="s">
        <v>159</v>
      </c>
      <c r="M58" s="17" t="s">
        <v>129</v>
      </c>
      <c r="N58" s="17" t="s">
        <v>467</v>
      </c>
      <c r="O58" s="17" t="s">
        <v>526</v>
      </c>
      <c r="P58" s="17" t="s">
        <v>437</v>
      </c>
      <c r="Q58" s="17" t="s">
        <v>127</v>
      </c>
      <c r="R58" s="17" t="s">
        <v>91</v>
      </c>
      <c r="S58" s="17">
        <v>5</v>
      </c>
      <c r="T58" s="17" t="s">
        <v>527</v>
      </c>
      <c r="U58" s="17" t="str" cm="1">
        <f t="array" ref="U58">_xlfn.REGEXEXTRACT(B58,"(?&lt;=//)[^/]+")</f>
        <v>hcbdsm.com</v>
      </c>
    </row>
    <row r="59" spans="1:21" ht="30" x14ac:dyDescent="0.25">
      <c r="A59" s="17" t="str">
        <f>IF(ISBLANK(R59)=TRUE,"Pending","Done")</f>
        <v>Done</v>
      </c>
      <c r="B59" s="17" t="s">
        <v>28</v>
      </c>
      <c r="C59" s="17">
        <v>46</v>
      </c>
      <c r="D59" s="17" t="s">
        <v>131</v>
      </c>
      <c r="E59" s="17" t="s">
        <v>501</v>
      </c>
      <c r="F59" s="17" t="s">
        <v>77</v>
      </c>
      <c r="G59" s="17" t="s">
        <v>77</v>
      </c>
      <c r="H59" s="17" t="s">
        <v>116</v>
      </c>
      <c r="I59" s="17" t="s">
        <v>146</v>
      </c>
      <c r="J59" s="17" t="s">
        <v>100</v>
      </c>
      <c r="K59" s="17" t="s">
        <v>134</v>
      </c>
      <c r="L59" s="17" t="s">
        <v>102</v>
      </c>
      <c r="M59" s="17" t="s">
        <v>112</v>
      </c>
      <c r="N59" s="17" t="s">
        <v>487</v>
      </c>
      <c r="O59" s="17" t="s">
        <v>154</v>
      </c>
      <c r="P59" s="17" t="s">
        <v>188</v>
      </c>
      <c r="Q59" s="17" t="s">
        <v>77</v>
      </c>
      <c r="R59" s="17" t="s">
        <v>91</v>
      </c>
      <c r="S59" s="17">
        <v>5</v>
      </c>
      <c r="T59" s="17" t="s">
        <v>502</v>
      </c>
      <c r="U59" s="17" t="str" cm="1">
        <f t="array" ref="U59">_xlfn.REGEXEXTRACT(B59,"(?&lt;=//)[^/]+")</f>
        <v>heavyfetish.com</v>
      </c>
    </row>
    <row r="60" spans="1:21" ht="30" x14ac:dyDescent="0.25">
      <c r="A60" s="17" t="str">
        <f>IF(ISBLANK(R60)=TRUE,"Pending","Done")</f>
        <v>Done</v>
      </c>
      <c r="B60" s="17" t="s">
        <v>766</v>
      </c>
      <c r="C60" s="17">
        <v>46</v>
      </c>
      <c r="D60" s="17" t="s">
        <v>493</v>
      </c>
      <c r="E60" s="17" t="s">
        <v>767</v>
      </c>
      <c r="F60" s="17" t="s">
        <v>77</v>
      </c>
      <c r="G60" s="17" t="s">
        <v>77</v>
      </c>
      <c r="H60" s="17" t="s">
        <v>116</v>
      </c>
      <c r="I60" s="17" t="s">
        <v>793</v>
      </c>
      <c r="J60" s="17" t="s">
        <v>794</v>
      </c>
      <c r="K60" s="17" t="s">
        <v>120</v>
      </c>
      <c r="L60" s="17" t="s">
        <v>612</v>
      </c>
      <c r="M60" s="17" t="s">
        <v>102</v>
      </c>
      <c r="N60" s="17" t="s">
        <v>389</v>
      </c>
      <c r="O60" s="17" t="s">
        <v>205</v>
      </c>
      <c r="P60" s="17" t="s">
        <v>127</v>
      </c>
      <c r="Q60" s="17" t="s">
        <v>437</v>
      </c>
      <c r="R60" s="17" t="s">
        <v>91</v>
      </c>
      <c r="S60" s="17">
        <v>5</v>
      </c>
      <c r="T60" s="17" t="s">
        <v>795</v>
      </c>
      <c r="U60" s="17" t="str" cm="1">
        <f t="array" ref="U60">_xlfn.REGEXEXTRACT(B60,"(?&lt;=//)[^/]+")</f>
        <v>www.porntrex.com</v>
      </c>
    </row>
    <row r="61" spans="1:21" ht="45" x14ac:dyDescent="0.25">
      <c r="A61" s="17" t="str">
        <f>IF(ISBLANK(R61)=TRUE,"Pending","Done")</f>
        <v>Done</v>
      </c>
      <c r="B61" s="17" t="s">
        <v>299</v>
      </c>
      <c r="C61" s="17">
        <v>43</v>
      </c>
      <c r="D61" s="17" t="s">
        <v>148</v>
      </c>
      <c r="E61" s="17" t="s">
        <v>436</v>
      </c>
      <c r="F61" s="17" t="s">
        <v>426</v>
      </c>
      <c r="G61" s="17" t="s">
        <v>77</v>
      </c>
      <c r="H61" s="17" t="s">
        <v>116</v>
      </c>
      <c r="I61" s="17" t="s">
        <v>646</v>
      </c>
      <c r="J61" s="17" t="s">
        <v>118</v>
      </c>
      <c r="K61" s="17" t="s">
        <v>134</v>
      </c>
      <c r="L61" s="17" t="s">
        <v>102</v>
      </c>
      <c r="M61" s="17" t="s">
        <v>153</v>
      </c>
      <c r="N61" s="17" t="s">
        <v>439</v>
      </c>
      <c r="O61" s="17" t="s">
        <v>437</v>
      </c>
      <c r="P61" s="17" t="s">
        <v>562</v>
      </c>
      <c r="Q61" s="17" t="s">
        <v>148</v>
      </c>
      <c r="R61" s="17" t="s">
        <v>91</v>
      </c>
      <c r="S61" s="17">
        <v>5</v>
      </c>
      <c r="T61" s="17" t="s">
        <v>438</v>
      </c>
      <c r="U61" s="17" t="str" cm="1">
        <f t="array" ref="U61">_xlfn.REGEXEXTRACT(B61,"(?&lt;=//)[^/]+")</f>
        <v>bdsmstreak.com</v>
      </c>
    </row>
    <row r="62" spans="1:21" ht="30" x14ac:dyDescent="0.25">
      <c r="A62" s="17" t="str">
        <f>IF(ISBLANK(R62)=TRUE,"Pending","Done")</f>
        <v>Done</v>
      </c>
      <c r="B62" s="17" t="s">
        <v>8</v>
      </c>
      <c r="C62" s="17">
        <v>41</v>
      </c>
      <c r="D62" s="17" t="s">
        <v>424</v>
      </c>
      <c r="E62" s="17" t="s">
        <v>365</v>
      </c>
      <c r="F62" s="17" t="s">
        <v>425</v>
      </c>
      <c r="G62" s="17" t="s">
        <v>77</v>
      </c>
      <c r="H62" s="17" t="s">
        <v>382</v>
      </c>
      <c r="I62" s="17" t="s">
        <v>195</v>
      </c>
      <c r="J62" s="17" t="s">
        <v>119</v>
      </c>
      <c r="K62" s="17" t="s">
        <v>407</v>
      </c>
      <c r="L62" s="17" t="s">
        <v>327</v>
      </c>
      <c r="M62" s="17" t="s">
        <v>161</v>
      </c>
      <c r="N62" s="17" t="s">
        <v>77</v>
      </c>
      <c r="O62" s="17" t="s">
        <v>232</v>
      </c>
      <c r="P62" s="17">
        <v>69</v>
      </c>
      <c r="Q62" s="17" t="s">
        <v>362</v>
      </c>
      <c r="R62" s="17" t="s">
        <v>91</v>
      </c>
      <c r="S62" s="17">
        <v>5</v>
      </c>
      <c r="T62" s="17" t="s">
        <v>427</v>
      </c>
      <c r="U62" s="17" t="str" cm="1">
        <f t="array" ref="U62">_xlfn.REGEXEXTRACT(B62,"(?&lt;=//)[^/]+")</f>
        <v>spankbang.com</v>
      </c>
    </row>
    <row r="63" spans="1:21" ht="30" x14ac:dyDescent="0.25">
      <c r="A63" s="17" t="str">
        <f>IF(ISBLANK(R63)=TRUE,"Pending","Done")</f>
        <v>Done</v>
      </c>
      <c r="B63" s="17" t="s">
        <v>73</v>
      </c>
      <c r="C63" s="17">
        <v>35</v>
      </c>
      <c r="D63" s="17" t="s">
        <v>405</v>
      </c>
      <c r="E63" s="17" t="s">
        <v>365</v>
      </c>
      <c r="F63" s="17" t="s">
        <v>404</v>
      </c>
      <c r="G63" s="17" t="s">
        <v>77</v>
      </c>
      <c r="H63" s="17" t="s">
        <v>117</v>
      </c>
      <c r="I63" s="17" t="s">
        <v>118</v>
      </c>
      <c r="J63" s="17" t="s">
        <v>195</v>
      </c>
      <c r="K63" s="17" t="s">
        <v>327</v>
      </c>
      <c r="L63" s="17" t="s">
        <v>407</v>
      </c>
      <c r="M63" s="17" t="s">
        <v>77</v>
      </c>
      <c r="N63" s="17" t="s">
        <v>77</v>
      </c>
      <c r="O63" s="17" t="s">
        <v>362</v>
      </c>
      <c r="P63" s="17" t="s">
        <v>188</v>
      </c>
      <c r="Q63" s="17" t="s">
        <v>332</v>
      </c>
      <c r="R63" s="17" t="s">
        <v>91</v>
      </c>
      <c r="S63" s="17">
        <v>5</v>
      </c>
      <c r="T63" s="17" t="s">
        <v>406</v>
      </c>
      <c r="U63" s="17" t="str" cm="1">
        <f t="array" ref="U63">_xlfn.REGEXEXTRACT(B63,"(?&lt;=//)[^/]+")</f>
        <v>tube.perverzija.com</v>
      </c>
    </row>
    <row r="64" spans="1:21" ht="45" x14ac:dyDescent="0.25">
      <c r="A64" s="17" t="str">
        <f>IF(ISBLANK(R64)=TRUE,"Pending","Done")</f>
        <v>Done</v>
      </c>
      <c r="B64" s="17" t="s">
        <v>22</v>
      </c>
      <c r="C64" s="17">
        <v>33</v>
      </c>
      <c r="D64" s="17" t="s">
        <v>147</v>
      </c>
      <c r="E64" s="17" t="s">
        <v>168</v>
      </c>
      <c r="F64" s="17" t="s">
        <v>77</v>
      </c>
      <c r="G64" s="17" t="s">
        <v>77</v>
      </c>
      <c r="H64" s="17" t="s">
        <v>116</v>
      </c>
      <c r="I64" s="17" t="s">
        <v>175</v>
      </c>
      <c r="J64" s="17" t="s">
        <v>143</v>
      </c>
      <c r="K64" s="17" t="s">
        <v>180</v>
      </c>
      <c r="L64" s="17" t="s">
        <v>176</v>
      </c>
      <c r="M64" s="17" t="s">
        <v>112</v>
      </c>
      <c r="N64" s="17" t="s">
        <v>179</v>
      </c>
      <c r="O64" s="17" t="s">
        <v>177</v>
      </c>
      <c r="P64" s="17" t="s">
        <v>178</v>
      </c>
      <c r="Q64" s="17" t="s">
        <v>77</v>
      </c>
      <c r="R64" s="17" t="s">
        <v>91</v>
      </c>
      <c r="S64" s="17">
        <v>5</v>
      </c>
      <c r="T64" s="17" t="s">
        <v>245</v>
      </c>
      <c r="U64" s="17" t="str" cm="1">
        <f t="array" ref="U64">_xlfn.REGEXEXTRACT(B64,"(?&lt;=//)[^/]+")</f>
        <v>bdsmstreak.com</v>
      </c>
    </row>
    <row r="65" spans="1:21" ht="60" x14ac:dyDescent="0.25">
      <c r="A65" s="17" t="str">
        <f>IF(ISBLANK(R65)=TRUE,"Pending","Done")</f>
        <v>Done</v>
      </c>
      <c r="B65" s="17" t="s">
        <v>44</v>
      </c>
      <c r="C65" s="17">
        <v>31</v>
      </c>
      <c r="D65" s="17" t="s">
        <v>147</v>
      </c>
      <c r="E65" s="17" t="s">
        <v>447</v>
      </c>
      <c r="F65" s="17" t="s">
        <v>456</v>
      </c>
      <c r="G65" s="17" t="s">
        <v>77</v>
      </c>
      <c r="H65" s="17" t="s">
        <v>116</v>
      </c>
      <c r="I65" s="17" t="s">
        <v>646</v>
      </c>
      <c r="J65" s="17" t="s">
        <v>105</v>
      </c>
      <c r="K65" s="17" t="s">
        <v>477</v>
      </c>
      <c r="L65" s="17" t="s">
        <v>353</v>
      </c>
      <c r="M65" s="17" t="s">
        <v>100</v>
      </c>
      <c r="N65" s="17" t="s">
        <v>107</v>
      </c>
      <c r="O65" s="17" t="s">
        <v>108</v>
      </c>
      <c r="P65" s="17" t="s">
        <v>109</v>
      </c>
      <c r="Q65" s="17">
        <v>69</v>
      </c>
      <c r="R65" s="17" t="s">
        <v>91</v>
      </c>
      <c r="S65" s="17">
        <v>5</v>
      </c>
      <c r="T65" s="17" t="s">
        <v>243</v>
      </c>
      <c r="U65" s="17" t="str" cm="1">
        <f t="array" ref="U65">_xlfn.REGEXEXTRACT(B65,"(?&lt;=//)[^/]+")</f>
        <v>bdsmstreak.com</v>
      </c>
    </row>
    <row r="66" spans="1:21" x14ac:dyDescent="0.25">
      <c r="A66" s="17" t="str">
        <f>IF(ISBLANK(R66)=TRUE,"Pending","Done")</f>
        <v>Done</v>
      </c>
      <c r="B66" s="17" t="s">
        <v>719</v>
      </c>
      <c r="C66" s="17">
        <v>14</v>
      </c>
      <c r="D66" s="17" t="s">
        <v>729</v>
      </c>
      <c r="E66" s="17" t="s">
        <v>729</v>
      </c>
      <c r="F66" s="17" t="s">
        <v>77</v>
      </c>
      <c r="G66" s="17" t="s">
        <v>77</v>
      </c>
      <c r="H66" s="17" t="s">
        <v>192</v>
      </c>
      <c r="I66" s="17" t="s">
        <v>477</v>
      </c>
      <c r="J66" s="17" t="s">
        <v>720</v>
      </c>
      <c r="K66" s="17" t="s">
        <v>95</v>
      </c>
      <c r="L66" s="17" t="s">
        <v>519</v>
      </c>
      <c r="M66" s="17" t="s">
        <v>722</v>
      </c>
      <c r="N66" s="17" t="s">
        <v>273</v>
      </c>
      <c r="O66" s="17" t="s">
        <v>437</v>
      </c>
      <c r="P66" s="17" t="s">
        <v>127</v>
      </c>
      <c r="Q66" s="17" t="s">
        <v>128</v>
      </c>
      <c r="R66" s="17" t="s">
        <v>91</v>
      </c>
      <c r="S66" s="17">
        <v>5</v>
      </c>
      <c r="T66" s="17" t="s">
        <v>721</v>
      </c>
      <c r="U66" s="17" t="str" cm="1">
        <f t="array" ref="U66">_xlfn.REGEXEXTRACT(B66,"(?&lt;=//)[^/]+")</f>
        <v>beeg.com</v>
      </c>
    </row>
    <row r="67" spans="1:21" ht="30" x14ac:dyDescent="0.25">
      <c r="A67" s="17" t="str">
        <f>IF(ISBLANK(R67)=TRUE,"Pending","Done")</f>
        <v>Done</v>
      </c>
      <c r="B67" s="17" t="s">
        <v>723</v>
      </c>
      <c r="C67" s="17">
        <v>11</v>
      </c>
      <c r="D67" s="17" t="s">
        <v>779</v>
      </c>
      <c r="E67" s="17" t="s">
        <v>729</v>
      </c>
      <c r="F67" s="17" t="s">
        <v>77</v>
      </c>
      <c r="G67" s="17" t="s">
        <v>77</v>
      </c>
      <c r="H67" s="17" t="s">
        <v>780</v>
      </c>
      <c r="I67" s="17" t="s">
        <v>264</v>
      </c>
      <c r="J67" s="17" t="s">
        <v>101</v>
      </c>
      <c r="K67" s="17" t="s">
        <v>781</v>
      </c>
      <c r="L67" s="17" t="s">
        <v>100</v>
      </c>
      <c r="M67" s="17" t="s">
        <v>77</v>
      </c>
      <c r="N67" s="17" t="s">
        <v>77</v>
      </c>
      <c r="O67" s="17" t="s">
        <v>127</v>
      </c>
      <c r="P67" s="17" t="s">
        <v>77</v>
      </c>
      <c r="Q67" s="17" t="s">
        <v>77</v>
      </c>
      <c r="R67" s="17" t="s">
        <v>91</v>
      </c>
      <c r="S67" s="17">
        <v>5</v>
      </c>
      <c r="T67" s="17" t="s">
        <v>785</v>
      </c>
      <c r="U67" s="17" t="str" cm="1">
        <f t="array" ref="U67">_xlfn.REGEXEXTRACT(B67,"(?&lt;=//)[^/]+")</f>
        <v>heavyfetish.com</v>
      </c>
    </row>
    <row r="68" spans="1:21" ht="30" x14ac:dyDescent="0.25">
      <c r="A68" s="17" t="str">
        <f>IF(ISBLANK(R68)=TRUE,"Pending","Done")</f>
        <v>Done</v>
      </c>
      <c r="B68" s="17" t="s">
        <v>317</v>
      </c>
      <c r="C68" s="17">
        <v>6</v>
      </c>
      <c r="D68" s="17" t="s">
        <v>324</v>
      </c>
      <c r="E68" s="17" t="s">
        <v>325</v>
      </c>
      <c r="F68" s="17" t="s">
        <v>77</v>
      </c>
      <c r="G68" s="17" t="s">
        <v>77</v>
      </c>
      <c r="H68" s="17" t="s">
        <v>116</v>
      </c>
      <c r="I68" s="17" t="s">
        <v>255</v>
      </c>
      <c r="J68" s="17" t="s">
        <v>326</v>
      </c>
      <c r="K68" s="17" t="s">
        <v>102</v>
      </c>
      <c r="L68" s="17" t="s">
        <v>153</v>
      </c>
      <c r="M68" s="17" t="s">
        <v>327</v>
      </c>
      <c r="N68" s="17" t="s">
        <v>77</v>
      </c>
      <c r="O68" s="17" t="s">
        <v>254</v>
      </c>
      <c r="P68" s="17" t="s">
        <v>77</v>
      </c>
      <c r="Q68" s="17" t="s">
        <v>77</v>
      </c>
      <c r="R68" s="17" t="s">
        <v>91</v>
      </c>
      <c r="S68" s="17">
        <v>5</v>
      </c>
      <c r="T68" s="17" t="s">
        <v>567</v>
      </c>
      <c r="U68" s="17" t="str" cm="1">
        <f t="array" ref="U68">_xlfn.REGEXEXTRACT(B68,"(?&lt;=//)[^/]+")</f>
        <v>spankbang.com</v>
      </c>
    </row>
    <row r="69" spans="1:21" ht="45" x14ac:dyDescent="0.25">
      <c r="A69" s="17" t="str">
        <f>IF(ISBLANK(R69)=TRUE,"Pending","Done")</f>
        <v>Done</v>
      </c>
      <c r="B69" s="17" t="s">
        <v>303</v>
      </c>
      <c r="C69" s="17">
        <v>4</v>
      </c>
      <c r="D69" s="17" t="s">
        <v>320</v>
      </c>
      <c r="E69" s="17" t="s">
        <v>321</v>
      </c>
      <c r="F69" s="17" t="s">
        <v>77</v>
      </c>
      <c r="G69" s="17" t="s">
        <v>77</v>
      </c>
      <c r="H69" s="17" t="s">
        <v>116</v>
      </c>
      <c r="I69" s="17" t="s">
        <v>107</v>
      </c>
      <c r="J69" s="17" t="s">
        <v>102</v>
      </c>
      <c r="K69" s="17" t="s">
        <v>153</v>
      </c>
      <c r="L69" s="17" t="s">
        <v>120</v>
      </c>
      <c r="M69" s="17" t="s">
        <v>119</v>
      </c>
      <c r="N69" s="17" t="s">
        <v>77</v>
      </c>
      <c r="O69" s="17" t="s">
        <v>103</v>
      </c>
      <c r="P69" s="17" t="s">
        <v>322</v>
      </c>
      <c r="Q69" s="17" t="s">
        <v>228</v>
      </c>
      <c r="R69" s="17" t="s">
        <v>91</v>
      </c>
      <c r="S69" s="17">
        <v>5</v>
      </c>
      <c r="T69" s="17" t="s">
        <v>323</v>
      </c>
      <c r="U69" s="17" t="str" cm="1">
        <f t="array" ref="U69">_xlfn.REGEXEXTRACT(B69,"(?&lt;=//)[^/]+")</f>
        <v>txxx.com</v>
      </c>
    </row>
    <row r="70" spans="1:21" ht="45" x14ac:dyDescent="0.25">
      <c r="A70" s="17" t="str">
        <f>IF(ISBLANK(R70)=TRUE,"Pending","Done")</f>
        <v>Done</v>
      </c>
      <c r="B70" s="17" t="s">
        <v>702</v>
      </c>
      <c r="C70" s="17">
        <v>1</v>
      </c>
      <c r="D70" s="17" t="s">
        <v>729</v>
      </c>
      <c r="E70" s="17" t="s">
        <v>729</v>
      </c>
      <c r="F70" s="17" t="s">
        <v>77</v>
      </c>
      <c r="G70" s="17" t="s">
        <v>77</v>
      </c>
      <c r="H70" s="17" t="s">
        <v>192</v>
      </c>
      <c r="I70" s="17" t="s">
        <v>134</v>
      </c>
      <c r="J70" s="17" t="s">
        <v>102</v>
      </c>
      <c r="K70" s="17" t="s">
        <v>152</v>
      </c>
      <c r="L70" s="17" t="s">
        <v>772</v>
      </c>
      <c r="M70" s="17" t="s">
        <v>77</v>
      </c>
      <c r="N70" s="17" t="s">
        <v>77</v>
      </c>
      <c r="O70" s="17" t="s">
        <v>740</v>
      </c>
      <c r="P70" s="17" t="s">
        <v>77</v>
      </c>
      <c r="Q70" s="17" t="s">
        <v>77</v>
      </c>
      <c r="R70" s="17" t="s">
        <v>677</v>
      </c>
      <c r="S70" s="17">
        <v>5</v>
      </c>
      <c r="T70" s="17" t="s">
        <v>773</v>
      </c>
      <c r="U70" s="17" t="str" cm="1">
        <f t="array" ref="U70">_xlfn.REGEXEXTRACT(B70,"(?&lt;=//)[^/]+")</f>
        <v>xhamster44.desi</v>
      </c>
    </row>
    <row r="71" spans="1:21" ht="30" x14ac:dyDescent="0.25">
      <c r="A71" s="17" t="str">
        <f>IF(ISBLANK(R71)=TRUE,"Pending","Done")</f>
        <v>Done</v>
      </c>
      <c r="B71" s="17" t="s">
        <v>695</v>
      </c>
      <c r="C71" s="17">
        <v>0</v>
      </c>
      <c r="D71" s="17" t="s">
        <v>696</v>
      </c>
      <c r="E71" s="17" t="s">
        <v>706</v>
      </c>
      <c r="F71" s="17" t="s">
        <v>77</v>
      </c>
      <c r="G71" s="17" t="s">
        <v>77</v>
      </c>
      <c r="H71" s="17" t="s">
        <v>116</v>
      </c>
      <c r="I71" s="17" t="s">
        <v>153</v>
      </c>
      <c r="J71" s="17" t="s">
        <v>100</v>
      </c>
      <c r="K71" s="17" t="s">
        <v>374</v>
      </c>
      <c r="L71" s="17" t="s">
        <v>612</v>
      </c>
      <c r="M71" s="17" t="s">
        <v>264</v>
      </c>
      <c r="N71" s="17" t="s">
        <v>102</v>
      </c>
      <c r="O71" s="17" t="s">
        <v>394</v>
      </c>
      <c r="P71" s="17" t="s">
        <v>128</v>
      </c>
      <c r="Q71" s="17" t="s">
        <v>492</v>
      </c>
      <c r="R71" s="17" t="s">
        <v>91</v>
      </c>
      <c r="S71" s="17">
        <v>5</v>
      </c>
      <c r="T71" s="17" t="s">
        <v>698</v>
      </c>
      <c r="U71" s="17" t="str" cm="1">
        <f t="array" ref="U71">_xlfn.REGEXEXTRACT(B71,"(?&lt;=//)[^/]+")</f>
        <v>www.txxx.porn</v>
      </c>
    </row>
    <row r="72" spans="1:21" ht="30" x14ac:dyDescent="0.25">
      <c r="A72" s="17" t="str">
        <f>IF(ISBLANK(R72)=TRUE,"Pending","Done")</f>
        <v>Done</v>
      </c>
      <c r="B72" s="17" t="s">
        <v>716</v>
      </c>
      <c r="C72" s="17">
        <v>0</v>
      </c>
      <c r="D72" s="17" t="s">
        <v>796</v>
      </c>
      <c r="E72" s="17" t="s">
        <v>609</v>
      </c>
      <c r="F72" s="17" t="s">
        <v>77</v>
      </c>
      <c r="G72" s="17" t="s">
        <v>77</v>
      </c>
      <c r="H72" s="17" t="s">
        <v>192</v>
      </c>
      <c r="I72" s="17" t="s">
        <v>207</v>
      </c>
      <c r="J72" s="17" t="s">
        <v>736</v>
      </c>
      <c r="K72" s="17" t="s">
        <v>748</v>
      </c>
      <c r="L72" s="17" t="s">
        <v>749</v>
      </c>
      <c r="M72" s="17" t="s">
        <v>750</v>
      </c>
      <c r="N72" s="17" t="s">
        <v>751</v>
      </c>
      <c r="O72" s="17" t="s">
        <v>127</v>
      </c>
      <c r="P72" s="17" t="s">
        <v>103</v>
      </c>
      <c r="Q72" s="17" t="s">
        <v>684</v>
      </c>
      <c r="R72" s="17" t="s">
        <v>91</v>
      </c>
      <c r="S72" s="17">
        <v>5</v>
      </c>
      <c r="T72" s="17" t="s">
        <v>752</v>
      </c>
      <c r="U72" s="17" t="str" cm="1">
        <f t="array" ref="U72">_xlfn.REGEXEXTRACT(B72,"(?&lt;=//)[^/]+")</f>
        <v>www.fuq.com</v>
      </c>
    </row>
    <row r="73" spans="1:21" ht="30" x14ac:dyDescent="0.25">
      <c r="A73" s="17" t="str">
        <f>IF(ISBLANK(R73)=TRUE,"Pending","Done")</f>
        <v>Done</v>
      </c>
      <c r="B73" s="17" t="s">
        <v>805</v>
      </c>
      <c r="C73" s="17">
        <v>47</v>
      </c>
      <c r="D73" s="17" t="s">
        <v>692</v>
      </c>
      <c r="E73" s="17" t="s">
        <v>810</v>
      </c>
      <c r="F73" s="17" t="s">
        <v>77</v>
      </c>
      <c r="G73" s="17" t="s">
        <v>77</v>
      </c>
      <c r="H73" s="17" t="s">
        <v>192</v>
      </c>
      <c r="I73" s="17" t="s">
        <v>118</v>
      </c>
      <c r="J73" s="17" t="s">
        <v>95</v>
      </c>
      <c r="K73" s="17" t="s">
        <v>173</v>
      </c>
      <c r="L73" s="17" t="s">
        <v>485</v>
      </c>
      <c r="M73" s="17" t="s">
        <v>77</v>
      </c>
      <c r="N73" s="17" t="s">
        <v>77</v>
      </c>
      <c r="O73" s="17" t="s">
        <v>811</v>
      </c>
      <c r="P73" s="17" t="s">
        <v>127</v>
      </c>
      <c r="Q73" s="17" t="s">
        <v>684</v>
      </c>
      <c r="R73" s="17" t="s">
        <v>91</v>
      </c>
      <c r="S73" s="17">
        <v>5</v>
      </c>
      <c r="T73" s="17" t="s">
        <v>812</v>
      </c>
      <c r="U73" s="17" t="str" cm="1">
        <f t="array" ref="U73">_xlfn.REGEXEXTRACT(B73,"(?&lt;=//)[^/]+")</f>
        <v>www.porntry.com</v>
      </c>
    </row>
    <row r="74" spans="1:21" ht="30" x14ac:dyDescent="0.25">
      <c r="A74" s="17" t="str">
        <f>IF(ISBLANK(R74)=TRUE,"Pending","Done")</f>
        <v>Done</v>
      </c>
      <c r="B74" s="17" t="s">
        <v>803</v>
      </c>
      <c r="C74" s="17">
        <v>44</v>
      </c>
      <c r="D74" s="17" t="s">
        <v>692</v>
      </c>
      <c r="E74" s="17" t="s">
        <v>816</v>
      </c>
      <c r="F74" s="17" t="s">
        <v>817</v>
      </c>
      <c r="G74" s="17" t="s">
        <v>77</v>
      </c>
      <c r="H74" s="17" t="s">
        <v>192</v>
      </c>
      <c r="I74" s="17" t="s">
        <v>153</v>
      </c>
      <c r="J74" s="17" t="s">
        <v>272</v>
      </c>
      <c r="K74" s="17" t="s">
        <v>173</v>
      </c>
      <c r="L74" s="17" t="s">
        <v>134</v>
      </c>
      <c r="M74" s="17" t="s">
        <v>95</v>
      </c>
      <c r="N74" s="17" t="s">
        <v>819</v>
      </c>
      <c r="O74" s="17" t="s">
        <v>684</v>
      </c>
      <c r="P74" s="17" t="s">
        <v>127</v>
      </c>
      <c r="Q74" s="17" t="s">
        <v>188</v>
      </c>
      <c r="R74" s="17" t="s">
        <v>91</v>
      </c>
      <c r="S74" s="17">
        <v>5</v>
      </c>
      <c r="T74" s="17" t="s">
        <v>818</v>
      </c>
      <c r="U74" s="17" t="str" cm="1">
        <f t="array" ref="U74">_xlfn.REGEXEXTRACT(B74,"(?&lt;=//)[^/]+")</f>
        <v>www.porntry.com</v>
      </c>
    </row>
    <row r="75" spans="1:21" ht="30" x14ac:dyDescent="0.25">
      <c r="A75" s="17" t="str">
        <f>IF(ISBLANK(R75)=TRUE,"Pending","Done")</f>
        <v>Done</v>
      </c>
      <c r="B75" s="17" t="s">
        <v>821</v>
      </c>
      <c r="C75" s="17">
        <v>54</v>
      </c>
      <c r="D75" s="17" t="s">
        <v>190</v>
      </c>
      <c r="E75" s="17" t="s">
        <v>824</v>
      </c>
      <c r="F75" s="17" t="s">
        <v>77</v>
      </c>
      <c r="G75" s="17" t="s">
        <v>77</v>
      </c>
      <c r="H75" s="17" t="s">
        <v>192</v>
      </c>
      <c r="I75" s="17" t="s">
        <v>153</v>
      </c>
      <c r="J75" s="17" t="s">
        <v>134</v>
      </c>
      <c r="K75" s="17" t="s">
        <v>523</v>
      </c>
      <c r="L75" s="17" t="s">
        <v>95</v>
      </c>
      <c r="M75" s="17" t="s">
        <v>272</v>
      </c>
      <c r="N75" s="17" t="s">
        <v>400</v>
      </c>
      <c r="O75" s="17" t="s">
        <v>188</v>
      </c>
      <c r="P75" s="17" t="s">
        <v>127</v>
      </c>
      <c r="Q75" s="17" t="s">
        <v>77</v>
      </c>
      <c r="R75" s="17" t="s">
        <v>91</v>
      </c>
      <c r="S75" s="17">
        <v>5</v>
      </c>
      <c r="T75" s="17" t="s">
        <v>826</v>
      </c>
      <c r="U75" s="17" t="str" cm="1">
        <f t="array" ref="U75">_xlfn.REGEXEXTRACT(B75,"(?&lt;=//)[^/]+")</f>
        <v>www.porntry.com</v>
      </c>
    </row>
    <row r="76" spans="1:21" ht="30" x14ac:dyDescent="0.25">
      <c r="A76" s="17" t="str">
        <f>IF(ISBLANK(R76)=TRUE,"Pending","Done")</f>
        <v>Done</v>
      </c>
      <c r="B76" s="17" t="s">
        <v>68</v>
      </c>
      <c r="C76" s="17">
        <v>182</v>
      </c>
      <c r="D76" s="17" t="s">
        <v>729</v>
      </c>
      <c r="E76" s="17" t="s">
        <v>729</v>
      </c>
      <c r="F76" s="17" t="s">
        <v>77</v>
      </c>
      <c r="G76" s="17" t="s">
        <v>77</v>
      </c>
      <c r="H76" s="17" t="s">
        <v>116</v>
      </c>
      <c r="I76" s="17" t="s">
        <v>646</v>
      </c>
      <c r="J76" s="17" t="s">
        <v>650</v>
      </c>
      <c r="K76" s="17" t="s">
        <v>100</v>
      </c>
      <c r="L76" s="17" t="s">
        <v>485</v>
      </c>
      <c r="M76" s="17" t="s">
        <v>682</v>
      </c>
      <c r="N76" s="17" t="s">
        <v>683</v>
      </c>
      <c r="O76" s="17" t="s">
        <v>188</v>
      </c>
      <c r="P76" s="17" t="s">
        <v>684</v>
      </c>
      <c r="Q76" s="17" t="s">
        <v>685</v>
      </c>
      <c r="R76" s="17" t="s">
        <v>91</v>
      </c>
      <c r="S76" s="17">
        <v>4</v>
      </c>
      <c r="T76" s="17" t="s">
        <v>681</v>
      </c>
      <c r="U76" s="17" t="str" cm="1">
        <f t="array" ref="U76">_xlfn.REGEXEXTRACT(B76,"(?&lt;=//)[^/]+")</f>
        <v>punishbang.com</v>
      </c>
    </row>
    <row r="77" spans="1:21" ht="30" x14ac:dyDescent="0.25">
      <c r="A77" s="17" t="str">
        <f>IF(ISBLANK(R77)=TRUE,"Pending","Done")</f>
        <v>Done</v>
      </c>
      <c r="B77" s="17" t="s">
        <v>69</v>
      </c>
      <c r="C77" s="17">
        <v>170</v>
      </c>
      <c r="D77" s="17" t="s">
        <v>672</v>
      </c>
      <c r="E77" s="17" t="s">
        <v>673</v>
      </c>
      <c r="F77" s="17" t="s">
        <v>674</v>
      </c>
      <c r="G77" s="17" t="s">
        <v>77</v>
      </c>
      <c r="H77" s="17" t="s">
        <v>117</v>
      </c>
      <c r="I77" s="17" t="s">
        <v>533</v>
      </c>
      <c r="J77" s="17" t="s">
        <v>485</v>
      </c>
      <c r="K77" s="17" t="s">
        <v>153</v>
      </c>
      <c r="L77" s="17" t="s">
        <v>678</v>
      </c>
      <c r="M77" s="17" t="s">
        <v>679</v>
      </c>
      <c r="N77" s="17" t="s">
        <v>680</v>
      </c>
      <c r="O77" s="17" t="s">
        <v>188</v>
      </c>
      <c r="P77" s="17" t="s">
        <v>638</v>
      </c>
      <c r="Q77" s="17" t="s">
        <v>510</v>
      </c>
      <c r="R77" s="17" t="s">
        <v>91</v>
      </c>
      <c r="S77" s="17">
        <v>4</v>
      </c>
      <c r="T77" s="17" t="s">
        <v>675</v>
      </c>
      <c r="U77" s="17" t="str" cm="1">
        <f t="array" ref="U77">_xlfn.REGEXEXTRACT(B77,"(?&lt;=//)[^/]+")</f>
        <v>punishbang.com</v>
      </c>
    </row>
    <row r="78" spans="1:21" ht="30" x14ac:dyDescent="0.25">
      <c r="A78" s="17" t="str">
        <f>IF(ISBLANK(R78)=TRUE,"Pending","Done")</f>
        <v>Done</v>
      </c>
      <c r="B78" s="17" t="s">
        <v>263</v>
      </c>
      <c r="C78" s="17">
        <v>80</v>
      </c>
      <c r="D78" s="17" t="s">
        <v>260</v>
      </c>
      <c r="E78" s="17" t="s">
        <v>454</v>
      </c>
      <c r="F78" s="17" t="s">
        <v>460</v>
      </c>
      <c r="G78" s="17" t="s">
        <v>77</v>
      </c>
      <c r="H78" s="17" t="s">
        <v>117</v>
      </c>
      <c r="I78" s="17" t="s">
        <v>264</v>
      </c>
      <c r="J78" s="17" t="s">
        <v>129</v>
      </c>
      <c r="K78" s="17" t="s">
        <v>266</v>
      </c>
      <c r="L78" s="17" t="s">
        <v>77</v>
      </c>
      <c r="M78" s="17" t="s">
        <v>77</v>
      </c>
      <c r="N78" s="17" t="s">
        <v>77</v>
      </c>
      <c r="O78" s="17" t="s">
        <v>582</v>
      </c>
      <c r="P78" s="17" t="s">
        <v>188</v>
      </c>
      <c r="Q78" s="17" t="s">
        <v>195</v>
      </c>
      <c r="R78" s="17" t="s">
        <v>91</v>
      </c>
      <c r="S78" s="17">
        <v>4</v>
      </c>
      <c r="T78" s="17" t="s">
        <v>265</v>
      </c>
      <c r="U78" s="17" t="str" cm="1">
        <f t="array" ref="U78">_xlfn.REGEXEXTRACT(B78,"(?&lt;=//)[^/]+")</f>
        <v>pornxp.com</v>
      </c>
    </row>
    <row r="79" spans="1:21" ht="30" x14ac:dyDescent="0.25">
      <c r="A79" s="17" t="str">
        <f>IF(ISBLANK(R79)=TRUE,"Pending","Done")</f>
        <v>Done</v>
      </c>
      <c r="B79" s="17" t="s">
        <v>63</v>
      </c>
      <c r="C79" s="17">
        <v>67</v>
      </c>
      <c r="D79" s="17" t="s">
        <v>190</v>
      </c>
      <c r="E79" s="17" t="s">
        <v>191</v>
      </c>
      <c r="F79" s="17" t="s">
        <v>77</v>
      </c>
      <c r="G79" s="17" t="s">
        <v>77</v>
      </c>
      <c r="H79" s="17" t="s">
        <v>192</v>
      </c>
      <c r="I79" s="17" t="s">
        <v>193</v>
      </c>
      <c r="J79" s="17" t="s">
        <v>194</v>
      </c>
      <c r="K79" s="17" t="s">
        <v>134</v>
      </c>
      <c r="L79" s="17" t="s">
        <v>95</v>
      </c>
      <c r="M79" s="17" t="s">
        <v>196</v>
      </c>
      <c r="N79" s="17" t="s">
        <v>77</v>
      </c>
      <c r="O79" s="17" t="s">
        <v>185</v>
      </c>
      <c r="P79" s="17" t="s">
        <v>188</v>
      </c>
      <c r="Q79" s="17" t="s">
        <v>195</v>
      </c>
      <c r="R79" s="17" t="s">
        <v>91</v>
      </c>
      <c r="S79" s="17">
        <v>4</v>
      </c>
      <c r="T79" s="17" t="s">
        <v>197</v>
      </c>
      <c r="U79" s="17" t="str" cm="1">
        <f t="array" ref="U79">_xlfn.REGEXEXTRACT(B79,"(?&lt;=//)[^/]+")</f>
        <v>bdsmstreak.com</v>
      </c>
    </row>
    <row r="80" spans="1:21" ht="30" x14ac:dyDescent="0.25">
      <c r="A80" s="17" t="str">
        <f>IF(ISBLANK(R80)=TRUE,"Pending","Done")</f>
        <v>Done</v>
      </c>
      <c r="B80" s="17" t="s">
        <v>285</v>
      </c>
      <c r="C80" s="17">
        <v>66</v>
      </c>
      <c r="D80" s="17" t="s">
        <v>621</v>
      </c>
      <c r="E80" s="17" t="s">
        <v>622</v>
      </c>
      <c r="F80" s="17" t="s">
        <v>77</v>
      </c>
      <c r="G80" s="17" t="s">
        <v>77</v>
      </c>
      <c r="H80" s="17" t="s">
        <v>367</v>
      </c>
      <c r="I80" s="17" t="s">
        <v>624</v>
      </c>
      <c r="J80" s="17" t="s">
        <v>339</v>
      </c>
      <c r="K80" s="17" t="s">
        <v>485</v>
      </c>
      <c r="L80" s="17" t="s">
        <v>120</v>
      </c>
      <c r="M80" s="17" t="s">
        <v>627</v>
      </c>
      <c r="N80" s="17" t="s">
        <v>628</v>
      </c>
      <c r="O80" s="17" t="s">
        <v>188</v>
      </c>
      <c r="P80" s="17" t="s">
        <v>625</v>
      </c>
      <c r="Q80" s="17" t="s">
        <v>626</v>
      </c>
      <c r="R80" s="17" t="s">
        <v>91</v>
      </c>
      <c r="S80" s="17">
        <v>4</v>
      </c>
      <c r="T80" s="17" t="s">
        <v>623</v>
      </c>
      <c r="U80" s="17" t="str" cm="1">
        <f t="array" ref="U80">_xlfn.REGEXEXTRACT(B80,"(?&lt;=//)[^/]+")</f>
        <v>m.hqporner.com</v>
      </c>
    </row>
    <row r="81" spans="1:21" ht="45" x14ac:dyDescent="0.25">
      <c r="A81" s="17" t="str">
        <f>IF(ISBLANK(R81)=TRUE,"Pending","Done")</f>
        <v>Done</v>
      </c>
      <c r="B81" s="17" t="s">
        <v>298</v>
      </c>
      <c r="C81" s="17">
        <v>60</v>
      </c>
      <c r="D81" s="17" t="s">
        <v>320</v>
      </c>
      <c r="E81" s="17" t="s">
        <v>589</v>
      </c>
      <c r="F81" s="17" t="s">
        <v>601</v>
      </c>
      <c r="G81" s="17" t="s">
        <v>77</v>
      </c>
      <c r="H81" s="17" t="s">
        <v>116</v>
      </c>
      <c r="I81" s="17" t="s">
        <v>146</v>
      </c>
      <c r="J81" s="17" t="s">
        <v>102</v>
      </c>
      <c r="K81" s="17" t="s">
        <v>134</v>
      </c>
      <c r="L81" s="17" t="s">
        <v>523</v>
      </c>
      <c r="M81" s="17" t="s">
        <v>161</v>
      </c>
      <c r="N81" s="17" t="s">
        <v>173</v>
      </c>
      <c r="O81" s="17" t="s">
        <v>188</v>
      </c>
      <c r="P81" s="17" t="s">
        <v>127</v>
      </c>
      <c r="Q81" s="17" t="s">
        <v>582</v>
      </c>
      <c r="R81" s="17" t="s">
        <v>91</v>
      </c>
      <c r="S81" s="17">
        <v>4</v>
      </c>
      <c r="T81" s="17" t="s">
        <v>594</v>
      </c>
      <c r="U81" s="17" t="str" cm="1">
        <f t="array" ref="U81">_xlfn.REGEXEXTRACT(B81,"(?&lt;=//)[^/]+")</f>
        <v>heavyfetish.com</v>
      </c>
    </row>
    <row r="82" spans="1:21" ht="30" x14ac:dyDescent="0.25">
      <c r="A82" s="17" t="str">
        <f>IF(ISBLANK(R82)=TRUE,"Pending","Done")</f>
        <v>Done</v>
      </c>
      <c r="B82" s="17" t="s">
        <v>24</v>
      </c>
      <c r="C82" s="17">
        <v>59</v>
      </c>
      <c r="D82" s="17" t="s">
        <v>261</v>
      </c>
      <c r="E82" s="17" t="s">
        <v>452</v>
      </c>
      <c r="F82" s="17" t="s">
        <v>458</v>
      </c>
      <c r="G82" s="17" t="s">
        <v>77</v>
      </c>
      <c r="H82" s="17" t="s">
        <v>117</v>
      </c>
      <c r="I82" s="17" t="s">
        <v>129</v>
      </c>
      <c r="J82" s="17" t="s">
        <v>118</v>
      </c>
      <c r="K82" s="17" t="s">
        <v>119</v>
      </c>
      <c r="L82" s="17" t="s">
        <v>400</v>
      </c>
      <c r="M82" s="17" t="s">
        <v>121</v>
      </c>
      <c r="N82" s="17" t="s">
        <v>124</v>
      </c>
      <c r="O82" s="17" t="s">
        <v>126</v>
      </c>
      <c r="P82" s="17" t="s">
        <v>127</v>
      </c>
      <c r="Q82" s="17" t="s">
        <v>128</v>
      </c>
      <c r="R82" s="17" t="s">
        <v>91</v>
      </c>
      <c r="S82" s="17">
        <v>4</v>
      </c>
      <c r="T82" s="17" t="s">
        <v>130</v>
      </c>
      <c r="U82" s="17" t="str" cm="1">
        <f t="array" ref="U82">_xlfn.REGEXEXTRACT(B82,"(?&lt;=//)[^/]+")</f>
        <v>bdsmstreak.com</v>
      </c>
    </row>
    <row r="83" spans="1:21" ht="30" x14ac:dyDescent="0.25">
      <c r="A83" s="17" t="str">
        <f>IF(ISBLANK(R83)=TRUE,"Pending","Done")</f>
        <v>Done</v>
      </c>
      <c r="B83" s="17" t="s">
        <v>12</v>
      </c>
      <c r="C83" s="17">
        <v>58</v>
      </c>
      <c r="D83" s="17" t="s">
        <v>131</v>
      </c>
      <c r="E83" s="17" t="s">
        <v>583</v>
      </c>
      <c r="F83" s="17" t="s">
        <v>576</v>
      </c>
      <c r="G83" s="17" t="s">
        <v>77</v>
      </c>
      <c r="H83" s="17" t="s">
        <v>117</v>
      </c>
      <c r="I83" s="17" t="s">
        <v>102</v>
      </c>
      <c r="J83" s="17" t="s">
        <v>586</v>
      </c>
      <c r="K83" s="17" t="s">
        <v>588</v>
      </c>
      <c r="L83" s="17" t="s">
        <v>133</v>
      </c>
      <c r="M83" s="17" t="s">
        <v>107</v>
      </c>
      <c r="N83" s="17" t="s">
        <v>134</v>
      </c>
      <c r="O83" s="17" t="s">
        <v>128</v>
      </c>
      <c r="P83" s="17" t="s">
        <v>362</v>
      </c>
      <c r="Q83" s="17" t="s">
        <v>582</v>
      </c>
      <c r="R83" s="17" t="s">
        <v>91</v>
      </c>
      <c r="S83" s="17">
        <v>4</v>
      </c>
      <c r="T83" s="17" t="s">
        <v>587</v>
      </c>
      <c r="U83" s="17" t="str" cm="1">
        <f t="array" ref="U83">_xlfn.REGEXEXTRACT(B83,"(?&lt;=//)[^/]+")</f>
        <v>heavyfetish.com</v>
      </c>
    </row>
    <row r="84" spans="1:21" ht="30" x14ac:dyDescent="0.25">
      <c r="A84" s="17" t="str">
        <f>IF(ISBLANK(R84)=TRUE,"Pending","Done")</f>
        <v>Done</v>
      </c>
      <c r="B84" s="17" t="s">
        <v>29</v>
      </c>
      <c r="C84" s="17">
        <v>55</v>
      </c>
      <c r="D84" s="17" t="s">
        <v>147</v>
      </c>
      <c r="E84" s="17" t="s">
        <v>450</v>
      </c>
      <c r="F84" s="17" t="s">
        <v>77</v>
      </c>
      <c r="G84" s="17" t="s">
        <v>77</v>
      </c>
      <c r="H84" s="17" t="s">
        <v>116</v>
      </c>
      <c r="I84" s="17" t="s">
        <v>152</v>
      </c>
      <c r="J84" s="17" t="s">
        <v>173</v>
      </c>
      <c r="K84" s="17" t="s">
        <v>463</v>
      </c>
      <c r="L84" s="17" t="s">
        <v>153</v>
      </c>
      <c r="M84" s="17" t="s">
        <v>149</v>
      </c>
      <c r="N84" s="17" t="s">
        <v>100</v>
      </c>
      <c r="O84" s="17" t="s">
        <v>148</v>
      </c>
      <c r="P84" s="17" t="s">
        <v>150</v>
      </c>
      <c r="Q84" s="17" t="s">
        <v>77</v>
      </c>
      <c r="R84" s="17" t="s">
        <v>91</v>
      </c>
      <c r="S84" s="17">
        <v>4</v>
      </c>
      <c r="T84" s="17" t="s">
        <v>151</v>
      </c>
      <c r="U84" s="17" t="str" cm="1">
        <f t="array" ref="U84">_xlfn.REGEXEXTRACT(B84,"(?&lt;=//)[^/]+")</f>
        <v>bdsmstreak.com</v>
      </c>
    </row>
    <row r="85" spans="1:21" ht="30" x14ac:dyDescent="0.25">
      <c r="A85" s="17" t="str">
        <f>IF(ISBLANK(R85)=TRUE,"Pending","Done")</f>
        <v>Done</v>
      </c>
      <c r="B85" s="17" t="s">
        <v>49</v>
      </c>
      <c r="C85" s="17">
        <v>53</v>
      </c>
      <c r="D85" s="17" t="s">
        <v>440</v>
      </c>
      <c r="E85" s="17" t="s">
        <v>215</v>
      </c>
      <c r="F85" s="17" t="s">
        <v>77</v>
      </c>
      <c r="G85" s="17" t="s">
        <v>77</v>
      </c>
      <c r="H85" s="17" t="s">
        <v>117</v>
      </c>
      <c r="I85" s="17" t="s">
        <v>542</v>
      </c>
      <c r="J85" s="17" t="s">
        <v>398</v>
      </c>
      <c r="K85" s="17" t="s">
        <v>543</v>
      </c>
      <c r="L85" s="17" t="s">
        <v>134</v>
      </c>
      <c r="M85" s="17" t="s">
        <v>533</v>
      </c>
      <c r="N85" s="17" t="s">
        <v>545</v>
      </c>
      <c r="O85" s="17">
        <v>69</v>
      </c>
      <c r="P85" s="17" t="s">
        <v>228</v>
      </c>
      <c r="Q85" s="17" t="s">
        <v>546</v>
      </c>
      <c r="R85" s="17" t="s">
        <v>91</v>
      </c>
      <c r="S85" s="17">
        <v>4</v>
      </c>
      <c r="T85" s="17" t="s">
        <v>544</v>
      </c>
      <c r="U85" s="17" t="str" cm="1">
        <f t="array" ref="U85">_xlfn.REGEXEXTRACT(B85,"(?&lt;=//)[^/]+")</f>
        <v>heavyfetish.com</v>
      </c>
    </row>
    <row r="86" spans="1:21" ht="30" x14ac:dyDescent="0.25">
      <c r="A86" s="17" t="str">
        <f>IF(ISBLANK(R86)=TRUE,"Pending","Done")</f>
        <v>Done</v>
      </c>
      <c r="B86" s="17" t="s">
        <v>18</v>
      </c>
      <c r="C86" s="17">
        <v>53</v>
      </c>
      <c r="D86" s="17" t="s">
        <v>148</v>
      </c>
      <c r="E86" s="17" t="s">
        <v>541</v>
      </c>
      <c r="F86" s="17" t="s">
        <v>77</v>
      </c>
      <c r="G86" s="17" t="s">
        <v>77</v>
      </c>
      <c r="H86" s="17" t="s">
        <v>116</v>
      </c>
      <c r="I86" s="17" t="s">
        <v>353</v>
      </c>
      <c r="J86" s="17" t="s">
        <v>102</v>
      </c>
      <c r="K86" s="17" t="s">
        <v>402</v>
      </c>
      <c r="L86" s="17" t="s">
        <v>484</v>
      </c>
      <c r="M86" s="17" t="s">
        <v>100</v>
      </c>
      <c r="N86" s="17" t="s">
        <v>153</v>
      </c>
      <c r="O86" s="17" t="s">
        <v>547</v>
      </c>
      <c r="P86" s="17" t="s">
        <v>548</v>
      </c>
      <c r="Q86" s="17" t="s">
        <v>137</v>
      </c>
      <c r="R86" s="17" t="s">
        <v>91</v>
      </c>
      <c r="S86" s="17">
        <v>4</v>
      </c>
      <c r="T86" s="17" t="s">
        <v>549</v>
      </c>
      <c r="U86" s="17" t="str" cm="1">
        <f t="array" ref="U86">_xlfn.REGEXEXTRACT(B86,"(?&lt;=//)[^/]+")</f>
        <v>heavyfetish.com</v>
      </c>
    </row>
    <row r="87" spans="1:21" ht="30" x14ac:dyDescent="0.25">
      <c r="A87" s="17" t="str">
        <f>IF(ISBLANK(R87)=TRUE,"Pending","Done")</f>
        <v>Done</v>
      </c>
      <c r="B87" s="17" t="s">
        <v>7</v>
      </c>
      <c r="C87" s="17">
        <v>52</v>
      </c>
      <c r="D87" s="17" t="s">
        <v>348</v>
      </c>
      <c r="E87" s="17" t="s">
        <v>729</v>
      </c>
      <c r="F87" s="17" t="s">
        <v>77</v>
      </c>
      <c r="G87" s="17" t="s">
        <v>77</v>
      </c>
      <c r="H87" s="17" t="s">
        <v>116</v>
      </c>
      <c r="I87" s="17" t="s">
        <v>327</v>
      </c>
      <c r="J87" s="17" t="s">
        <v>159</v>
      </c>
      <c r="K87" s="17" t="s">
        <v>134</v>
      </c>
      <c r="L87" s="17" t="s">
        <v>118</v>
      </c>
      <c r="M87" s="17" t="s">
        <v>100</v>
      </c>
      <c r="N87" s="17" t="s">
        <v>153</v>
      </c>
      <c r="O87" s="17" t="s">
        <v>148</v>
      </c>
      <c r="P87" s="17" t="s">
        <v>535</v>
      </c>
      <c r="Q87" s="17" t="s">
        <v>188</v>
      </c>
      <c r="R87" s="17" t="s">
        <v>91</v>
      </c>
      <c r="S87" s="17">
        <v>4</v>
      </c>
      <c r="T87" s="17" t="s">
        <v>536</v>
      </c>
      <c r="U87" s="17" t="str" cm="1">
        <f t="array" ref="U87">_xlfn.REGEXEXTRACT(B87,"(?&lt;=//)[^/]+")</f>
        <v>spankbang.party</v>
      </c>
    </row>
    <row r="88" spans="1:21" ht="45" x14ac:dyDescent="0.25">
      <c r="A88" s="17" t="str">
        <f>IF(ISBLANK(R88)=TRUE,"Pending","Done")</f>
        <v>Done</v>
      </c>
      <c r="B88" s="17" t="s">
        <v>60</v>
      </c>
      <c r="C88" s="17">
        <v>46</v>
      </c>
      <c r="D88" s="17" t="s">
        <v>147</v>
      </c>
      <c r="E88" s="17" t="s">
        <v>496</v>
      </c>
      <c r="F88" s="17" t="s">
        <v>77</v>
      </c>
      <c r="G88" s="17" t="s">
        <v>77</v>
      </c>
      <c r="H88" s="17" t="s">
        <v>116</v>
      </c>
      <c r="I88" s="17" t="s">
        <v>464</v>
      </c>
      <c r="J88" s="17" t="s">
        <v>107</v>
      </c>
      <c r="K88" s="17" t="s">
        <v>463</v>
      </c>
      <c r="L88" s="17" t="s">
        <v>498</v>
      </c>
      <c r="M88" s="17" t="s">
        <v>499</v>
      </c>
      <c r="N88" s="17" t="s">
        <v>485</v>
      </c>
      <c r="O88" s="17" t="s">
        <v>497</v>
      </c>
      <c r="P88" s="17" t="s">
        <v>228</v>
      </c>
      <c r="Q88" s="17" t="s">
        <v>77</v>
      </c>
      <c r="R88" s="17" t="s">
        <v>91</v>
      </c>
      <c r="S88" s="17">
        <v>4</v>
      </c>
      <c r="T88" s="17" t="s">
        <v>500</v>
      </c>
      <c r="U88" s="17" t="str" cm="1">
        <f t="array" ref="U88">_xlfn.REGEXEXTRACT(B88,"(?&lt;=//)[^/]+")</f>
        <v>heavyfetish.com</v>
      </c>
    </row>
    <row r="89" spans="1:21" ht="30" x14ac:dyDescent="0.25">
      <c r="A89" s="17" t="str">
        <f>IF(ISBLANK(R89)=TRUE,"Pending","Done")</f>
        <v>Done</v>
      </c>
      <c r="B89" s="17" t="s">
        <v>35</v>
      </c>
      <c r="C89" s="17">
        <v>45</v>
      </c>
      <c r="D89" s="17" t="s">
        <v>148</v>
      </c>
      <c r="E89" s="17" t="s">
        <v>483</v>
      </c>
      <c r="F89" s="17" t="s">
        <v>77</v>
      </c>
      <c r="G89" s="17" t="s">
        <v>77</v>
      </c>
      <c r="H89" s="17" t="s">
        <v>116</v>
      </c>
      <c r="I89" s="17" t="s">
        <v>484</v>
      </c>
      <c r="J89" s="17" t="s">
        <v>485</v>
      </c>
      <c r="K89" s="17" t="s">
        <v>112</v>
      </c>
      <c r="L89" s="17" t="s">
        <v>134</v>
      </c>
      <c r="M89" s="17" t="s">
        <v>149</v>
      </c>
      <c r="N89" s="17" t="s">
        <v>487</v>
      </c>
      <c r="O89" s="17" t="s">
        <v>188</v>
      </c>
      <c r="P89" s="17" t="s">
        <v>486</v>
      </c>
      <c r="Q89" s="17" t="s">
        <v>148</v>
      </c>
      <c r="R89" s="17" t="s">
        <v>91</v>
      </c>
      <c r="S89" s="17">
        <v>4</v>
      </c>
      <c r="T89" s="17" t="s">
        <v>488</v>
      </c>
      <c r="U89" s="17" t="str" cm="1">
        <f t="array" ref="U89">_xlfn.REGEXEXTRACT(B89,"(?&lt;=//)[^/]+")</f>
        <v>heavyfetish.com</v>
      </c>
    </row>
    <row r="90" spans="1:21" ht="30" x14ac:dyDescent="0.25">
      <c r="A90" s="17" t="str">
        <f>IF(ISBLANK(R90)=TRUE,"Pending","Done")</f>
        <v>Done</v>
      </c>
      <c r="B90" s="17" t="s">
        <v>16</v>
      </c>
      <c r="C90" s="17">
        <v>44</v>
      </c>
      <c r="D90" s="17" t="s">
        <v>147</v>
      </c>
      <c r="E90" s="17" t="s">
        <v>462</v>
      </c>
      <c r="F90" s="17" t="s">
        <v>77</v>
      </c>
      <c r="G90" s="17" t="s">
        <v>77</v>
      </c>
      <c r="H90" s="17" t="s">
        <v>116</v>
      </c>
      <c r="I90" s="17" t="s">
        <v>463</v>
      </c>
      <c r="J90" s="17" t="s">
        <v>464</v>
      </c>
      <c r="K90" s="17" t="s">
        <v>353</v>
      </c>
      <c r="L90" s="17" t="s">
        <v>466</v>
      </c>
      <c r="M90" s="17" t="s">
        <v>469</v>
      </c>
      <c r="N90" s="17" t="s">
        <v>467</v>
      </c>
      <c r="O90" s="17" t="s">
        <v>465</v>
      </c>
      <c r="P90" s="17" t="s">
        <v>432</v>
      </c>
      <c r="Q90" s="17" t="s">
        <v>437</v>
      </c>
      <c r="R90" s="17" t="s">
        <v>91</v>
      </c>
      <c r="S90" s="17">
        <v>4</v>
      </c>
      <c r="T90" s="17" t="s">
        <v>468</v>
      </c>
      <c r="U90" s="17" t="str" cm="1">
        <f t="array" ref="U90">_xlfn.REGEXEXTRACT(B90,"(?&lt;=//)[^/]+")</f>
        <v>heavyfetish.com</v>
      </c>
    </row>
    <row r="91" spans="1:21" ht="30" x14ac:dyDescent="0.25">
      <c r="A91" s="17" t="str">
        <f>IF(ISBLANK(R91)=TRUE,"Pending","Done")</f>
        <v>Done</v>
      </c>
      <c r="B91" s="17" t="s">
        <v>296</v>
      </c>
      <c r="C91" s="17">
        <v>44</v>
      </c>
      <c r="D91" s="17" t="s">
        <v>729</v>
      </c>
      <c r="E91" s="17" t="s">
        <v>473</v>
      </c>
      <c r="F91" s="17" t="s">
        <v>475</v>
      </c>
      <c r="G91" s="17" t="s">
        <v>77</v>
      </c>
      <c r="H91" s="17" t="s">
        <v>474</v>
      </c>
      <c r="I91" s="17" t="s">
        <v>159</v>
      </c>
      <c r="J91" s="17" t="s">
        <v>102</v>
      </c>
      <c r="K91" s="17" t="s">
        <v>477</v>
      </c>
      <c r="L91" s="17" t="s">
        <v>100</v>
      </c>
      <c r="M91" s="17" t="s">
        <v>129</v>
      </c>
      <c r="N91" s="17" t="s">
        <v>119</v>
      </c>
      <c r="O91" s="17" t="s">
        <v>188</v>
      </c>
      <c r="P91" s="17" t="s">
        <v>126</v>
      </c>
      <c r="Q91" s="17" t="s">
        <v>478</v>
      </c>
      <c r="R91" s="17" t="s">
        <v>91</v>
      </c>
      <c r="S91" s="17">
        <v>4</v>
      </c>
      <c r="T91" s="17" t="s">
        <v>476</v>
      </c>
      <c r="U91" s="17" t="str" cm="1">
        <f t="array" ref="U91">_xlfn.REGEXEXTRACT(B91,"(?&lt;=//)[^/]+")</f>
        <v>txxx.com</v>
      </c>
    </row>
    <row r="92" spans="1:21" ht="45" x14ac:dyDescent="0.25">
      <c r="A92" s="17" t="str">
        <f>IF(ISBLANK(R92)=TRUE,"Pending","Done")</f>
        <v>Done</v>
      </c>
      <c r="B92" s="17" t="s">
        <v>280</v>
      </c>
      <c r="C92" s="17">
        <v>42</v>
      </c>
      <c r="D92" s="17" t="s">
        <v>131</v>
      </c>
      <c r="E92" s="17" t="s">
        <v>428</v>
      </c>
      <c r="F92" s="17" t="s">
        <v>77</v>
      </c>
      <c r="G92" s="17" t="s">
        <v>77</v>
      </c>
      <c r="H92" s="17" t="s">
        <v>116</v>
      </c>
      <c r="I92" s="17" t="s">
        <v>107</v>
      </c>
      <c r="J92" s="17" t="s">
        <v>430</v>
      </c>
      <c r="K92" s="17" t="s">
        <v>134</v>
      </c>
      <c r="L92" s="17" t="s">
        <v>161</v>
      </c>
      <c r="M92" s="17" t="s">
        <v>77</v>
      </c>
      <c r="N92" s="17" t="s">
        <v>77</v>
      </c>
      <c r="O92" s="17" t="s">
        <v>431</v>
      </c>
      <c r="P92" s="17" t="s">
        <v>429</v>
      </c>
      <c r="Q92" s="17" t="s">
        <v>77</v>
      </c>
      <c r="R92" s="17" t="s">
        <v>91</v>
      </c>
      <c r="S92" s="17">
        <v>4</v>
      </c>
      <c r="T92" s="17" t="s">
        <v>433</v>
      </c>
      <c r="U92" s="17" t="str" cm="1">
        <f t="array" ref="U92">_xlfn.REGEXEXTRACT(B92,"(?&lt;=//)[^/]+")</f>
        <v>bdsmstreak.com</v>
      </c>
    </row>
    <row r="93" spans="1:21" ht="30" x14ac:dyDescent="0.25">
      <c r="A93" s="17" t="str">
        <f>IF(ISBLANK(R93)=TRUE,"Pending","Done")</f>
        <v>Done</v>
      </c>
      <c r="B93" s="17" t="s">
        <v>47</v>
      </c>
      <c r="C93" s="17">
        <v>36</v>
      </c>
      <c r="D93" s="17" t="s">
        <v>163</v>
      </c>
      <c r="E93" s="17" t="s">
        <v>215</v>
      </c>
      <c r="F93" s="17" t="s">
        <v>77</v>
      </c>
      <c r="G93" s="17" t="s">
        <v>77</v>
      </c>
      <c r="H93" s="17" t="s">
        <v>116</v>
      </c>
      <c r="I93" s="17" t="s">
        <v>134</v>
      </c>
      <c r="J93" s="17" t="s">
        <v>153</v>
      </c>
      <c r="K93" s="17" t="s">
        <v>165</v>
      </c>
      <c r="L93" s="17" t="s">
        <v>102</v>
      </c>
      <c r="M93" s="17" t="s">
        <v>100</v>
      </c>
      <c r="N93" s="17" t="s">
        <v>77</v>
      </c>
      <c r="O93" s="17" t="s">
        <v>164</v>
      </c>
      <c r="P93" s="17" t="s">
        <v>166</v>
      </c>
      <c r="Q93" s="17" t="s">
        <v>77</v>
      </c>
      <c r="R93" s="17" t="s">
        <v>91</v>
      </c>
      <c r="S93" s="17">
        <v>4</v>
      </c>
      <c r="T93" s="17" t="s">
        <v>319</v>
      </c>
      <c r="U93" s="17" t="str" cm="1">
        <f t="array" ref="U93">_xlfn.REGEXEXTRACT(B93,"(?&lt;=//)[^/]+")</f>
        <v>bdsmstreak.com</v>
      </c>
    </row>
    <row r="94" spans="1:21" ht="30" x14ac:dyDescent="0.25">
      <c r="A94" s="17" t="str">
        <f>IF(ISBLANK(R94)=TRUE,"Pending","Done")</f>
        <v>Done</v>
      </c>
      <c r="B94" s="17" t="s">
        <v>313</v>
      </c>
      <c r="C94" s="17">
        <v>36</v>
      </c>
      <c r="D94" s="17" t="s">
        <v>361</v>
      </c>
      <c r="E94" s="17" t="s">
        <v>408</v>
      </c>
      <c r="F94" s="17" t="s">
        <v>77</v>
      </c>
      <c r="G94" s="17" t="s">
        <v>77</v>
      </c>
      <c r="H94" s="17" t="s">
        <v>367</v>
      </c>
      <c r="I94" s="17" t="s">
        <v>410</v>
      </c>
      <c r="J94" s="17" t="s">
        <v>411</v>
      </c>
      <c r="K94" s="17" t="s">
        <v>389</v>
      </c>
      <c r="L94" s="17" t="s">
        <v>327</v>
      </c>
      <c r="M94" s="17" t="s">
        <v>77</v>
      </c>
      <c r="N94" s="17" t="s">
        <v>77</v>
      </c>
      <c r="O94" s="17" t="s">
        <v>127</v>
      </c>
      <c r="P94" s="17" t="s">
        <v>128</v>
      </c>
      <c r="Q94" s="17" t="s">
        <v>387</v>
      </c>
      <c r="R94" s="17" t="s">
        <v>91</v>
      </c>
      <c r="S94" s="17">
        <v>4</v>
      </c>
      <c r="T94" s="17" t="s">
        <v>409</v>
      </c>
      <c r="U94" s="17" t="str" cm="1">
        <f t="array" ref="U94">_xlfn.REGEXEXTRACT(B94,"(?&lt;=//)[^/]+")</f>
        <v>pornxp.com</v>
      </c>
    </row>
    <row r="95" spans="1:21" ht="45" x14ac:dyDescent="0.25">
      <c r="A95" s="17" t="str">
        <f>IF(ISBLANK(R95)=TRUE,"Pending","Done")</f>
        <v>Done</v>
      </c>
      <c r="B95" s="17" t="s">
        <v>302</v>
      </c>
      <c r="C95" s="17">
        <v>31</v>
      </c>
      <c r="D95" s="17" t="s">
        <v>390</v>
      </c>
      <c r="E95" s="17" t="s">
        <v>391</v>
      </c>
      <c r="F95" s="17" t="s">
        <v>77</v>
      </c>
      <c r="G95" s="17" t="s">
        <v>77</v>
      </c>
      <c r="H95" s="17" t="s">
        <v>382</v>
      </c>
      <c r="I95" s="17" t="s">
        <v>101</v>
      </c>
      <c r="J95" s="17" t="s">
        <v>392</v>
      </c>
      <c r="K95" s="17" t="s">
        <v>161</v>
      </c>
      <c r="L95" s="17" t="s">
        <v>292</v>
      </c>
      <c r="M95" s="17" t="s">
        <v>396</v>
      </c>
      <c r="N95" s="17" t="s">
        <v>77</v>
      </c>
      <c r="O95" s="17" t="s">
        <v>188</v>
      </c>
      <c r="P95" s="17" t="s">
        <v>77</v>
      </c>
      <c r="Q95" s="17" t="s">
        <v>77</v>
      </c>
      <c r="R95" s="17" t="s">
        <v>91</v>
      </c>
      <c r="S95" s="17">
        <v>4</v>
      </c>
      <c r="T95" s="17" t="s">
        <v>395</v>
      </c>
      <c r="U95" s="17" t="str" cm="1">
        <f t="array" ref="U95">_xlfn.REGEXEXTRACT(B95,"(?&lt;=//)[^/]+")</f>
        <v>txxx.me</v>
      </c>
    </row>
    <row r="96" spans="1:21" ht="30" x14ac:dyDescent="0.25">
      <c r="A96" s="17" t="str">
        <f>IF(ISBLANK(R96)=TRUE,"Pending","Done")</f>
        <v>Done</v>
      </c>
      <c r="B96" s="17" t="s">
        <v>283</v>
      </c>
      <c r="C96" s="17">
        <v>27</v>
      </c>
      <c r="D96" s="17" t="s">
        <v>131</v>
      </c>
      <c r="E96" s="17" t="s">
        <v>446</v>
      </c>
      <c r="F96" s="17" t="s">
        <v>217</v>
      </c>
      <c r="G96" s="17" t="s">
        <v>77</v>
      </c>
      <c r="H96" s="17" t="s">
        <v>116</v>
      </c>
      <c r="I96" s="17" t="s">
        <v>149</v>
      </c>
      <c r="J96" s="17" t="s">
        <v>134</v>
      </c>
      <c r="K96" s="17" t="s">
        <v>112</v>
      </c>
      <c r="L96" s="17" t="s">
        <v>389</v>
      </c>
      <c r="M96" s="17" t="s">
        <v>100</v>
      </c>
      <c r="N96" s="17" t="s">
        <v>482</v>
      </c>
      <c r="O96" s="17" t="s">
        <v>228</v>
      </c>
      <c r="P96" s="17" t="s">
        <v>128</v>
      </c>
      <c r="Q96" s="17" t="s">
        <v>77</v>
      </c>
      <c r="R96" s="17" t="s">
        <v>91</v>
      </c>
      <c r="S96" s="17">
        <v>4</v>
      </c>
      <c r="T96" s="17" t="s">
        <v>360</v>
      </c>
      <c r="U96" s="17" t="str" cm="1">
        <f t="array" ref="U96">_xlfn.REGEXEXTRACT(B96,"(?&lt;=//)[^/]+")</f>
        <v>heavyfetish.com</v>
      </c>
    </row>
    <row r="97" spans="1:21" ht="30" x14ac:dyDescent="0.25">
      <c r="A97" s="17" t="str">
        <f>IF(ISBLANK(R97)=TRUE,"Pending","Done")</f>
        <v>Done</v>
      </c>
      <c r="B97" s="17" t="s">
        <v>726</v>
      </c>
      <c r="C97" s="17">
        <v>22</v>
      </c>
      <c r="D97" s="17" t="s">
        <v>268</v>
      </c>
      <c r="E97" s="17" t="s">
        <v>728</v>
      </c>
      <c r="F97" s="17" t="s">
        <v>77</v>
      </c>
      <c r="G97" s="17" t="s">
        <v>77</v>
      </c>
      <c r="H97" s="17" t="s">
        <v>192</v>
      </c>
      <c r="I97" s="17" t="s">
        <v>787</v>
      </c>
      <c r="J97" s="17" t="s">
        <v>118</v>
      </c>
      <c r="K97" s="17" t="s">
        <v>194</v>
      </c>
      <c r="L97" s="17" t="s">
        <v>134</v>
      </c>
      <c r="M97" s="17" t="s">
        <v>788</v>
      </c>
      <c r="N97" s="17" t="s">
        <v>749</v>
      </c>
      <c r="O97" s="17" t="s">
        <v>740</v>
      </c>
      <c r="P97" s="17" t="s">
        <v>127</v>
      </c>
      <c r="Q97" s="17" t="s">
        <v>437</v>
      </c>
      <c r="R97" s="17" t="s">
        <v>91</v>
      </c>
      <c r="S97" s="17">
        <v>4</v>
      </c>
      <c r="T97" s="17" t="s">
        <v>789</v>
      </c>
      <c r="U97" s="17" t="str" cm="1">
        <f t="array" ref="U97">_xlfn.REGEXEXTRACT(B97,"(?&lt;=//)[^/]+")</f>
        <v>heavyfetish.com</v>
      </c>
    </row>
    <row r="98" spans="1:21" ht="30" x14ac:dyDescent="0.25">
      <c r="A98" s="17" t="str">
        <f>IF(ISBLANK(R98)=TRUE,"Pending","Done")</f>
        <v>Done</v>
      </c>
      <c r="B98" s="17" t="s">
        <v>308</v>
      </c>
      <c r="C98" s="17">
        <v>14</v>
      </c>
      <c r="D98" s="17" t="s">
        <v>348</v>
      </c>
      <c r="E98" s="17" t="s">
        <v>347</v>
      </c>
      <c r="F98" s="17" t="s">
        <v>77</v>
      </c>
      <c r="G98" s="17" t="s">
        <v>77</v>
      </c>
      <c r="H98" s="17" t="s">
        <v>116</v>
      </c>
      <c r="I98" s="17" t="s">
        <v>153</v>
      </c>
      <c r="J98" s="17" t="s">
        <v>118</v>
      </c>
      <c r="K98" s="17" t="s">
        <v>134</v>
      </c>
      <c r="L98" s="17" t="s">
        <v>100</v>
      </c>
      <c r="M98" s="17" t="s">
        <v>77</v>
      </c>
      <c r="N98" s="17" t="s">
        <v>77</v>
      </c>
      <c r="O98" s="17" t="s">
        <v>148</v>
      </c>
      <c r="P98" s="17" t="s">
        <v>350</v>
      </c>
      <c r="Q98" s="17" t="s">
        <v>77</v>
      </c>
      <c r="R98" s="17" t="s">
        <v>91</v>
      </c>
      <c r="S98" s="17">
        <v>4</v>
      </c>
      <c r="T98" s="17" t="s">
        <v>351</v>
      </c>
      <c r="U98" s="17" t="str" cm="1">
        <f t="array" ref="U98">_xlfn.REGEXEXTRACT(B98,"(?&lt;=//)[^/]+")</f>
        <v>heavyfetish.com</v>
      </c>
    </row>
    <row r="99" spans="1:21" ht="45" x14ac:dyDescent="0.25">
      <c r="A99" s="17" t="str">
        <f>IF(ISBLANK(R99)=TRUE,"Pending","Done")</f>
        <v>Done</v>
      </c>
      <c r="B99" s="17" t="s">
        <v>4</v>
      </c>
      <c r="C99" s="17">
        <v>13</v>
      </c>
      <c r="D99" s="17" t="s">
        <v>348</v>
      </c>
      <c r="E99" s="17" t="s">
        <v>346</v>
      </c>
      <c r="F99" s="17" t="s">
        <v>77</v>
      </c>
      <c r="G99" s="17" t="s">
        <v>77</v>
      </c>
      <c r="H99" s="17" t="s">
        <v>116</v>
      </c>
      <c r="I99" s="17" t="s">
        <v>120</v>
      </c>
      <c r="J99" s="17" t="s">
        <v>389</v>
      </c>
      <c r="K99" s="17" t="s">
        <v>161</v>
      </c>
      <c r="L99" s="17" t="s">
        <v>639</v>
      </c>
      <c r="M99" s="17" t="s">
        <v>327</v>
      </c>
      <c r="N99" s="17" t="s">
        <v>77</v>
      </c>
      <c r="O99" s="17" t="s">
        <v>432</v>
      </c>
      <c r="P99" s="17" t="s">
        <v>77</v>
      </c>
      <c r="Q99" s="17" t="s">
        <v>77</v>
      </c>
      <c r="R99" s="17" t="s">
        <v>91</v>
      </c>
      <c r="S99" s="17">
        <v>4</v>
      </c>
      <c r="T99" s="17" t="s">
        <v>349</v>
      </c>
      <c r="U99" s="17" t="str" cm="1">
        <f t="array" ref="U99">_xlfn.REGEXEXTRACT(B99,"(?&lt;=//)[^/]+")</f>
        <v>heavyfetish.com</v>
      </c>
    </row>
    <row r="100" spans="1:21" ht="30" x14ac:dyDescent="0.25">
      <c r="A100" s="17" t="str">
        <f>IF(ISBLANK(R100)=TRUE,"Pending","Done")</f>
        <v>Done</v>
      </c>
      <c r="B100" s="17" t="s">
        <v>315</v>
      </c>
      <c r="C100" s="17">
        <v>11</v>
      </c>
      <c r="D100" s="17" t="s">
        <v>337</v>
      </c>
      <c r="E100" s="17" t="s">
        <v>167</v>
      </c>
      <c r="F100" s="17" t="s">
        <v>77</v>
      </c>
      <c r="G100" s="17" t="s">
        <v>77</v>
      </c>
      <c r="H100" s="17" t="s">
        <v>367</v>
      </c>
      <c r="I100" s="17" t="s">
        <v>120</v>
      </c>
      <c r="J100" s="17" t="s">
        <v>119</v>
      </c>
      <c r="K100" s="17" t="s">
        <v>389</v>
      </c>
      <c r="L100" s="17" t="s">
        <v>77</v>
      </c>
      <c r="M100" s="17" t="s">
        <v>77</v>
      </c>
      <c r="N100" s="17" t="s">
        <v>77</v>
      </c>
      <c r="O100" s="17">
        <v>69</v>
      </c>
      <c r="P100" s="17">
        <v>619</v>
      </c>
      <c r="Q100" s="17" t="s">
        <v>414</v>
      </c>
      <c r="R100" s="17" t="s">
        <v>91</v>
      </c>
      <c r="S100" s="17">
        <v>4</v>
      </c>
      <c r="T100" s="17" t="s">
        <v>338</v>
      </c>
      <c r="U100" s="17" t="str" cm="1">
        <f t="array" ref="U100">_xlfn.REGEXEXTRACT(B100,"(?&lt;=//)[^/]+")</f>
        <v>www.porndead.org</v>
      </c>
    </row>
    <row r="101" spans="1:21" ht="30" x14ac:dyDescent="0.25">
      <c r="A101" s="17" t="str">
        <f>IF(ISBLANK(R101)=TRUE,"Pending","Done")</f>
        <v>Done</v>
      </c>
      <c r="B101" s="17" t="s">
        <v>0</v>
      </c>
      <c r="C101" s="17">
        <v>9</v>
      </c>
      <c r="D101" s="17" t="s">
        <v>444</v>
      </c>
      <c r="E101" s="17" t="s">
        <v>325</v>
      </c>
      <c r="F101" s="17" t="s">
        <v>77</v>
      </c>
      <c r="G101" s="17" t="s">
        <v>77</v>
      </c>
      <c r="H101" s="17" t="s">
        <v>368</v>
      </c>
      <c r="I101" s="17" t="s">
        <v>120</v>
      </c>
      <c r="J101" s="17" t="s">
        <v>389</v>
      </c>
      <c r="K101" s="17" t="s">
        <v>341</v>
      </c>
      <c r="L101" s="17" t="s">
        <v>77</v>
      </c>
      <c r="M101" s="17" t="s">
        <v>77</v>
      </c>
      <c r="N101" s="17" t="s">
        <v>77</v>
      </c>
      <c r="O101" s="17" t="s">
        <v>329</v>
      </c>
      <c r="P101" s="17" t="s">
        <v>128</v>
      </c>
      <c r="Q101" s="17" t="s">
        <v>127</v>
      </c>
      <c r="R101" s="17" t="s">
        <v>91</v>
      </c>
      <c r="S101" s="17">
        <v>4</v>
      </c>
      <c r="T101" s="17" t="s">
        <v>328</v>
      </c>
      <c r="U101" s="17" t="str" cm="1">
        <f t="array" ref="U101">_xlfn.REGEXEXTRACT(B101,"(?&lt;=//)[^/]+")</f>
        <v>xhamster18.desi</v>
      </c>
    </row>
    <row r="102" spans="1:21" x14ac:dyDescent="0.25">
      <c r="A102" s="17" t="str">
        <f>IF(ISBLANK(R102)=TRUE,"Pending","Done")</f>
        <v>Done</v>
      </c>
      <c r="B102" s="17" t="s">
        <v>9</v>
      </c>
      <c r="C102" s="17">
        <v>0</v>
      </c>
      <c r="D102" s="17" t="s">
        <v>796</v>
      </c>
      <c r="E102" s="17" t="s">
        <v>609</v>
      </c>
      <c r="F102" s="17" t="s">
        <v>77</v>
      </c>
      <c r="G102" s="17" t="s">
        <v>77</v>
      </c>
      <c r="H102" s="17" t="s">
        <v>735</v>
      </c>
      <c r="I102" s="17" t="s">
        <v>77</v>
      </c>
      <c r="J102" s="17" t="s">
        <v>77</v>
      </c>
      <c r="K102" s="17" t="s">
        <v>77</v>
      </c>
      <c r="L102" s="17" t="s">
        <v>77</v>
      </c>
      <c r="M102" s="17" t="s">
        <v>77</v>
      </c>
      <c r="N102" s="17" t="s">
        <v>77</v>
      </c>
      <c r="O102" s="17" t="s">
        <v>77</v>
      </c>
      <c r="P102" s="17" t="s">
        <v>77</v>
      </c>
      <c r="Q102" s="17" t="s">
        <v>77</v>
      </c>
      <c r="R102" s="17" t="s">
        <v>91</v>
      </c>
      <c r="S102" s="17">
        <v>4</v>
      </c>
      <c r="T102" s="17" t="s">
        <v>616</v>
      </c>
      <c r="U102" s="17" t="str" cm="1">
        <f t="array" ref="U102">_xlfn.REGEXEXTRACT(B102,"(?&lt;=//)[^/]+")</f>
        <v>netfapx.net</v>
      </c>
    </row>
    <row r="103" spans="1:21" ht="30" x14ac:dyDescent="0.25">
      <c r="A103" s="17" t="str">
        <f>IF(ISBLANK(R103)=TRUE,"Pending","Done")</f>
        <v>Done</v>
      </c>
      <c r="B103" s="17" t="s">
        <v>10</v>
      </c>
      <c r="C103" s="17">
        <v>0</v>
      </c>
      <c r="D103" s="17" t="s">
        <v>796</v>
      </c>
      <c r="E103" s="17" t="s">
        <v>609</v>
      </c>
      <c r="F103" s="17" t="s">
        <v>77</v>
      </c>
      <c r="G103" s="17" t="s">
        <v>77</v>
      </c>
      <c r="H103" s="17" t="s">
        <v>735</v>
      </c>
      <c r="I103" s="17" t="s">
        <v>77</v>
      </c>
      <c r="J103" s="17" t="s">
        <v>77</v>
      </c>
      <c r="K103" s="17" t="s">
        <v>77</v>
      </c>
      <c r="L103" s="17" t="s">
        <v>77</v>
      </c>
      <c r="M103" s="17" t="s">
        <v>77</v>
      </c>
      <c r="N103" s="17" t="s">
        <v>77</v>
      </c>
      <c r="O103" s="17" t="s">
        <v>77</v>
      </c>
      <c r="P103" s="17" t="s">
        <v>77</v>
      </c>
      <c r="Q103" s="17" t="s">
        <v>77</v>
      </c>
      <c r="R103" s="17" t="s">
        <v>91</v>
      </c>
      <c r="S103" s="17">
        <v>4</v>
      </c>
      <c r="T103" s="17" t="s">
        <v>619</v>
      </c>
      <c r="U103" s="17" t="str" cm="1">
        <f t="array" ref="U103">_xlfn.REGEXEXTRACT(B103,"(?&lt;=//)[^/]+")</f>
        <v>pornzog</v>
      </c>
    </row>
    <row r="104" spans="1:21" ht="30" x14ac:dyDescent="0.25">
      <c r="A104" s="17" t="str">
        <f>IF(ISBLANK(R104)=TRUE,"Pending","Done")</f>
        <v>Done</v>
      </c>
      <c r="B104" s="17" t="s">
        <v>699</v>
      </c>
      <c r="C104" s="17">
        <v>0</v>
      </c>
      <c r="D104" s="17" t="s">
        <v>796</v>
      </c>
      <c r="E104" s="17" t="s">
        <v>609</v>
      </c>
      <c r="F104" s="17" t="s">
        <v>77</v>
      </c>
      <c r="G104" s="17" t="s">
        <v>77</v>
      </c>
      <c r="H104" s="17" t="s">
        <v>192</v>
      </c>
      <c r="I104" s="17" t="s">
        <v>677</v>
      </c>
      <c r="J104" s="17" t="s">
        <v>704</v>
      </c>
      <c r="K104" s="17" t="s">
        <v>705</v>
      </c>
      <c r="L104" s="17" t="s">
        <v>134</v>
      </c>
      <c r="M104" s="17" t="s">
        <v>95</v>
      </c>
      <c r="N104" s="17" t="s">
        <v>339</v>
      </c>
      <c r="O104" s="17" t="s">
        <v>492</v>
      </c>
      <c r="P104" s="17" t="s">
        <v>166</v>
      </c>
      <c r="Q104" s="17" t="s">
        <v>437</v>
      </c>
      <c r="R104" s="17" t="s">
        <v>677</v>
      </c>
      <c r="S104" s="17">
        <v>4</v>
      </c>
      <c r="T104" s="17" t="s">
        <v>700</v>
      </c>
      <c r="U104" s="17" t="str" cm="1">
        <f t="array" ref="U104">_xlfn.REGEXEXTRACT(B104,"(?&lt;=//)[^/]+")</f>
        <v>www.tubegalore.com</v>
      </c>
    </row>
    <row r="105" spans="1:21" ht="30" x14ac:dyDescent="0.25">
      <c r="A105" s="17" t="str">
        <f>IF(ISBLANK(R105)=TRUE,"Pending","Done")</f>
        <v>Done</v>
      </c>
      <c r="B105" s="17" t="s">
        <v>801</v>
      </c>
      <c r="C105" s="17">
        <v>44</v>
      </c>
      <c r="D105" s="17" t="s">
        <v>692</v>
      </c>
      <c r="E105" s="17" t="s">
        <v>806</v>
      </c>
      <c r="F105" s="17" t="s">
        <v>77</v>
      </c>
      <c r="G105" s="17" t="s">
        <v>77</v>
      </c>
      <c r="H105" s="17" t="s">
        <v>192</v>
      </c>
      <c r="I105" s="17" t="s">
        <v>159</v>
      </c>
      <c r="J105" s="17" t="s">
        <v>134</v>
      </c>
      <c r="K105" s="17" t="s">
        <v>153</v>
      </c>
      <c r="L105" s="17" t="s">
        <v>95</v>
      </c>
      <c r="M105" s="17" t="s">
        <v>118</v>
      </c>
      <c r="N105" s="17" t="s">
        <v>688</v>
      </c>
      <c r="O105" s="17" t="s">
        <v>188</v>
      </c>
      <c r="P105" s="17" t="s">
        <v>127</v>
      </c>
      <c r="Q105" s="17" t="s">
        <v>77</v>
      </c>
      <c r="R105" s="17" t="s">
        <v>91</v>
      </c>
      <c r="S105" s="17">
        <v>4</v>
      </c>
      <c r="T105" s="17" t="s">
        <v>807</v>
      </c>
      <c r="U105" s="17" t="str" cm="1">
        <f t="array" ref="U105">_xlfn.REGEXEXTRACT(B105,"(?&lt;=//)[^/]+")</f>
        <v>www.porntry.com</v>
      </c>
    </row>
    <row r="106" spans="1:21" ht="45" x14ac:dyDescent="0.25">
      <c r="A106" s="17" t="str">
        <f>IF(ISBLANK(R106)=TRUE,"Pending","Done")</f>
        <v>Done</v>
      </c>
      <c r="B106" s="17" t="s">
        <v>804</v>
      </c>
      <c r="C106" s="17">
        <v>42</v>
      </c>
      <c r="D106" s="17" t="s">
        <v>692</v>
      </c>
      <c r="E106" s="17" t="s">
        <v>813</v>
      </c>
      <c r="F106" s="17" t="s">
        <v>814</v>
      </c>
      <c r="G106" s="17" t="s">
        <v>77</v>
      </c>
      <c r="H106" s="17" t="s">
        <v>192</v>
      </c>
      <c r="I106" s="17" t="s">
        <v>134</v>
      </c>
      <c r="J106" s="17" t="s">
        <v>688</v>
      </c>
      <c r="K106" s="17" t="s">
        <v>95</v>
      </c>
      <c r="L106" s="17" t="s">
        <v>173</v>
      </c>
      <c r="M106" s="17" t="s">
        <v>118</v>
      </c>
      <c r="N106" s="17" t="s">
        <v>819</v>
      </c>
      <c r="O106" s="17" t="s">
        <v>437</v>
      </c>
      <c r="P106" s="17" t="s">
        <v>394</v>
      </c>
      <c r="Q106" s="17" t="s">
        <v>188</v>
      </c>
      <c r="R106" s="17" t="s">
        <v>91</v>
      </c>
      <c r="S106" s="17">
        <v>4</v>
      </c>
      <c r="T106" s="17" t="s">
        <v>815</v>
      </c>
      <c r="U106" s="17" t="str" cm="1">
        <f t="array" ref="U106">_xlfn.REGEXEXTRACT(B106,"(?&lt;=//)[^/]+")</f>
        <v>www.porntry.com</v>
      </c>
    </row>
    <row r="107" spans="1:21" ht="45" x14ac:dyDescent="0.25">
      <c r="A107" s="17" t="str">
        <f>IF(ISBLANK(R107)=TRUE,"Pending","Done")</f>
        <v>Done</v>
      </c>
      <c r="B107" s="17" t="s">
        <v>701</v>
      </c>
      <c r="C107" s="17">
        <v>106</v>
      </c>
      <c r="D107" s="17" t="s">
        <v>729</v>
      </c>
      <c r="E107" s="17" t="s">
        <v>729</v>
      </c>
      <c r="F107" s="17" t="s">
        <v>729</v>
      </c>
      <c r="G107" s="17" t="s">
        <v>77</v>
      </c>
      <c r="H107" s="17" t="s">
        <v>192</v>
      </c>
      <c r="I107" s="17" t="s">
        <v>707</v>
      </c>
      <c r="J107" s="17" t="s">
        <v>708</v>
      </c>
      <c r="K107" s="17" t="s">
        <v>704</v>
      </c>
      <c r="L107" s="17" t="s">
        <v>782</v>
      </c>
      <c r="M107" s="17" t="s">
        <v>783</v>
      </c>
      <c r="N107" s="17" t="s">
        <v>680</v>
      </c>
      <c r="O107" s="17" t="s">
        <v>188</v>
      </c>
      <c r="P107" s="17" t="s">
        <v>128</v>
      </c>
      <c r="Q107" s="17" t="s">
        <v>437</v>
      </c>
      <c r="R107" s="17" t="s">
        <v>677</v>
      </c>
      <c r="S107" s="17">
        <v>3</v>
      </c>
      <c r="T107" s="17" t="s">
        <v>709</v>
      </c>
      <c r="U107" s="17" t="str" cm="1">
        <f t="array" ref="U107">_xlfn.REGEXEXTRACT(B107,"(?&lt;=//)[^/]+")</f>
        <v>www.eporner.com</v>
      </c>
    </row>
    <row r="108" spans="1:21" ht="30" x14ac:dyDescent="0.25">
      <c r="A108" s="17" t="str">
        <f>IF(ISBLANK(R108)=TRUE,"Pending","Done")</f>
        <v>Done</v>
      </c>
      <c r="B108" s="17" t="s">
        <v>36</v>
      </c>
      <c r="C108" s="17">
        <v>102</v>
      </c>
      <c r="D108" s="17" t="s">
        <v>262</v>
      </c>
      <c r="E108" s="17" t="s">
        <v>455</v>
      </c>
      <c r="F108" s="17" t="s">
        <v>77</v>
      </c>
      <c r="G108" s="17" t="s">
        <v>77</v>
      </c>
      <c r="H108" s="17" t="s">
        <v>116</v>
      </c>
      <c r="I108" s="17" t="s">
        <v>139</v>
      </c>
      <c r="J108" s="17" t="s">
        <v>140</v>
      </c>
      <c r="K108" s="17" t="s">
        <v>134</v>
      </c>
      <c r="L108" s="17" t="s">
        <v>142</v>
      </c>
      <c r="M108" s="17" t="s">
        <v>143</v>
      </c>
      <c r="N108" s="17" t="s">
        <v>145</v>
      </c>
      <c r="O108" s="17" t="s">
        <v>141</v>
      </c>
      <c r="P108" s="17" t="s">
        <v>486</v>
      </c>
      <c r="Q108" s="17" t="s">
        <v>144</v>
      </c>
      <c r="R108" s="17" t="s">
        <v>91</v>
      </c>
      <c r="S108" s="17">
        <v>3</v>
      </c>
      <c r="T108" s="17" t="s">
        <v>242</v>
      </c>
      <c r="U108" s="17" t="str" cm="1">
        <f t="array" ref="U108">_xlfn.REGEXEXTRACT(B108,"(?&lt;=//)[^/]+")</f>
        <v>bdsmstreak.com</v>
      </c>
    </row>
    <row r="109" spans="1:21" ht="30" x14ac:dyDescent="0.25">
      <c r="A109" s="17" t="str">
        <f>IF(ISBLANK(R109)=TRUE,"Pending","Done")</f>
        <v>Done</v>
      </c>
      <c r="B109" s="17" t="s">
        <v>311</v>
      </c>
      <c r="C109" s="17">
        <v>80</v>
      </c>
      <c r="D109" s="17" t="s">
        <v>131</v>
      </c>
      <c r="E109" s="17" t="s">
        <v>401</v>
      </c>
      <c r="F109" s="17" t="s">
        <v>77</v>
      </c>
      <c r="G109" s="17" t="s">
        <v>77</v>
      </c>
      <c r="H109" s="17" t="s">
        <v>116</v>
      </c>
      <c r="I109" s="17" t="s">
        <v>353</v>
      </c>
      <c r="J109" s="17" t="s">
        <v>102</v>
      </c>
      <c r="K109" s="17" t="s">
        <v>581</v>
      </c>
      <c r="L109" s="17" t="s">
        <v>134</v>
      </c>
      <c r="M109" s="17" t="s">
        <v>77</v>
      </c>
      <c r="N109" s="17" t="s">
        <v>77</v>
      </c>
      <c r="O109" s="17" t="s">
        <v>188</v>
      </c>
      <c r="P109" s="17" t="s">
        <v>77</v>
      </c>
      <c r="Q109" s="17" t="s">
        <v>77</v>
      </c>
      <c r="R109" s="17" t="s">
        <v>91</v>
      </c>
      <c r="S109" s="17">
        <v>3</v>
      </c>
      <c r="T109" s="17" t="s">
        <v>555</v>
      </c>
      <c r="U109" s="17" t="str" cm="1">
        <f t="array" ref="U109">_xlfn.REGEXEXTRACT(B109,"(?&lt;=//)[^/]+")</f>
        <v>curebdsm.com</v>
      </c>
    </row>
    <row r="110" spans="1:21" ht="30" x14ac:dyDescent="0.25">
      <c r="A110" s="17" t="str">
        <f>IF(ISBLANK(R110)=TRUE,"Pending","Done")</f>
        <v>Done</v>
      </c>
      <c r="B110" s="17" t="s">
        <v>62</v>
      </c>
      <c r="C110" s="17">
        <v>77</v>
      </c>
      <c r="D110" s="17" t="s">
        <v>147</v>
      </c>
      <c r="E110" s="17" t="s">
        <v>629</v>
      </c>
      <c r="F110" s="17" t="s">
        <v>77</v>
      </c>
      <c r="G110" s="17" t="s">
        <v>77</v>
      </c>
      <c r="H110" s="17" t="s">
        <v>116</v>
      </c>
      <c r="I110" s="17" t="s">
        <v>133</v>
      </c>
      <c r="J110" s="17" t="s">
        <v>572</v>
      </c>
      <c r="K110" s="17" t="s">
        <v>632</v>
      </c>
      <c r="L110" s="17" t="s">
        <v>107</v>
      </c>
      <c r="M110" s="17" t="s">
        <v>635</v>
      </c>
      <c r="N110" s="17" t="s">
        <v>100</v>
      </c>
      <c r="O110" s="17" t="s">
        <v>148</v>
      </c>
      <c r="P110" s="17" t="s">
        <v>630</v>
      </c>
      <c r="Q110" s="17" t="s">
        <v>633</v>
      </c>
      <c r="R110" s="17" t="s">
        <v>91</v>
      </c>
      <c r="S110" s="17">
        <v>3</v>
      </c>
      <c r="T110" s="17" t="s">
        <v>634</v>
      </c>
      <c r="U110" s="17" t="str" cm="1">
        <f t="array" ref="U110">_xlfn.REGEXEXTRACT(B110,"(?&lt;=//)[^/]+")</f>
        <v>bdsmstreak.com</v>
      </c>
    </row>
    <row r="111" spans="1:21" ht="45" x14ac:dyDescent="0.25">
      <c r="A111" s="17" t="str">
        <f>IF(ISBLANK(R111)=TRUE,"Pending","Done")</f>
        <v>Done</v>
      </c>
      <c r="B111" s="17" t="s">
        <v>64</v>
      </c>
      <c r="C111" s="17">
        <v>70</v>
      </c>
      <c r="D111" s="17" t="s">
        <v>443</v>
      </c>
      <c r="E111" s="17" t="s">
        <v>453</v>
      </c>
      <c r="F111" s="17" t="s">
        <v>459</v>
      </c>
      <c r="G111" s="17" t="s">
        <v>77</v>
      </c>
      <c r="H111" s="17" t="s">
        <v>115</v>
      </c>
      <c r="I111" s="17" t="s">
        <v>112</v>
      </c>
      <c r="J111" s="17" t="s">
        <v>134</v>
      </c>
      <c r="K111" s="17" t="s">
        <v>186</v>
      </c>
      <c r="L111" s="17" t="s">
        <v>187</v>
      </c>
      <c r="M111" s="17" t="s">
        <v>161</v>
      </c>
      <c r="N111" s="17" t="s">
        <v>189</v>
      </c>
      <c r="O111" s="17" t="s">
        <v>103</v>
      </c>
      <c r="P111" s="17" t="s">
        <v>188</v>
      </c>
      <c r="Q111" s="17" t="s">
        <v>77</v>
      </c>
      <c r="R111" s="17" t="s">
        <v>91</v>
      </c>
      <c r="S111" s="17">
        <v>3</v>
      </c>
      <c r="T111" s="17" t="s">
        <v>247</v>
      </c>
      <c r="U111" s="17" t="str" cm="1">
        <f t="array" ref="U111">_xlfn.REGEXEXTRACT(B111,"(?&lt;=//)[^/]+")</f>
        <v>bdsmstreak.com</v>
      </c>
    </row>
    <row r="112" spans="1:21" ht="30" x14ac:dyDescent="0.25">
      <c r="A112" s="17" t="str">
        <f>IF(ISBLANK(R112)=TRUE,"Pending","Done")</f>
        <v>Done</v>
      </c>
      <c r="B112" s="17" t="s">
        <v>537</v>
      </c>
      <c r="C112" s="17">
        <v>53</v>
      </c>
      <c r="D112" s="17" t="s">
        <v>190</v>
      </c>
      <c r="E112" s="17" t="s">
        <v>538</v>
      </c>
      <c r="F112" s="17" t="s">
        <v>77</v>
      </c>
      <c r="G112" s="17" t="s">
        <v>77</v>
      </c>
      <c r="H112" s="17" t="s">
        <v>192</v>
      </c>
      <c r="I112" s="17" t="s">
        <v>134</v>
      </c>
      <c r="J112" s="17" t="s">
        <v>736</v>
      </c>
      <c r="K112" s="17" t="s">
        <v>539</v>
      </c>
      <c r="L112" s="17" t="s">
        <v>95</v>
      </c>
      <c r="M112" s="17" t="s">
        <v>523</v>
      </c>
      <c r="N112" s="17" t="s">
        <v>540</v>
      </c>
      <c r="O112" s="17" t="s">
        <v>188</v>
      </c>
      <c r="P112" s="17" t="s">
        <v>127</v>
      </c>
      <c r="Q112" s="17" t="s">
        <v>437</v>
      </c>
      <c r="R112" s="17" t="s">
        <v>91</v>
      </c>
      <c r="S112" s="17">
        <v>3</v>
      </c>
      <c r="T112" s="17" t="s">
        <v>733</v>
      </c>
      <c r="U112" s="17" t="str" cm="1">
        <f t="array" ref="U112">_xlfn.REGEXEXTRACT(B112,"(?&lt;=//)[^/]+")</f>
        <v>pervtube.net</v>
      </c>
    </row>
    <row r="113" spans="1:21" ht="30" x14ac:dyDescent="0.25">
      <c r="A113" s="17" t="str">
        <f>IF(ISBLANK(R113)=TRUE,"Pending","Done")</f>
        <v>Done</v>
      </c>
      <c r="B113" s="17" t="s">
        <v>209</v>
      </c>
      <c r="C113" s="17">
        <v>49</v>
      </c>
      <c r="D113" s="17" t="s">
        <v>190</v>
      </c>
      <c r="E113" s="17" t="s">
        <v>210</v>
      </c>
      <c r="F113" s="17" t="s">
        <v>77</v>
      </c>
      <c r="G113" s="17" t="s">
        <v>77</v>
      </c>
      <c r="H113" s="17" t="s">
        <v>192</v>
      </c>
      <c r="I113" s="17" t="s">
        <v>118</v>
      </c>
      <c r="J113" s="17" t="s">
        <v>211</v>
      </c>
      <c r="K113" s="17" t="s">
        <v>736</v>
      </c>
      <c r="L113" s="17" t="s">
        <v>212</v>
      </c>
      <c r="M113" s="17" t="s">
        <v>95</v>
      </c>
      <c r="N113" s="17" t="s">
        <v>77</v>
      </c>
      <c r="O113" s="17" t="s">
        <v>188</v>
      </c>
      <c r="P113" s="17" t="s">
        <v>127</v>
      </c>
      <c r="Q113" s="17" t="s">
        <v>77</v>
      </c>
      <c r="R113" s="17" t="s">
        <v>91</v>
      </c>
      <c r="S113" s="17">
        <v>3</v>
      </c>
      <c r="T113" s="17" t="s">
        <v>250</v>
      </c>
      <c r="U113" s="17" t="str" cm="1">
        <f t="array" ref="U113">_xlfn.REGEXEXTRACT(B113,"(?&lt;=//)[^/]+")</f>
        <v>www.pornhits.com</v>
      </c>
    </row>
    <row r="114" spans="1:21" ht="30" x14ac:dyDescent="0.25">
      <c r="A114" s="17" t="str">
        <f>IF(ISBLANK(R114)=TRUE,"Pending","Done")</f>
        <v>Done</v>
      </c>
      <c r="B114" s="17" t="s">
        <v>26</v>
      </c>
      <c r="C114" s="17">
        <v>46</v>
      </c>
      <c r="D114" s="17" t="s">
        <v>320</v>
      </c>
      <c r="E114" s="17" t="s">
        <v>494</v>
      </c>
      <c r="F114" s="17" t="s">
        <v>77</v>
      </c>
      <c r="G114" s="17" t="s">
        <v>77</v>
      </c>
      <c r="H114" s="17" t="s">
        <v>116</v>
      </c>
      <c r="I114" s="17" t="s">
        <v>471</v>
      </c>
      <c r="J114" s="17" t="s">
        <v>134</v>
      </c>
      <c r="K114" s="17" t="s">
        <v>153</v>
      </c>
      <c r="L114" s="17" t="s">
        <v>152</v>
      </c>
      <c r="M114" s="17" t="s">
        <v>612</v>
      </c>
      <c r="N114" s="17" t="s">
        <v>499</v>
      </c>
      <c r="O114" s="17" t="s">
        <v>127</v>
      </c>
      <c r="P114" s="17" t="s">
        <v>228</v>
      </c>
      <c r="Q114" s="17" t="s">
        <v>185</v>
      </c>
      <c r="R114" s="17" t="s">
        <v>91</v>
      </c>
      <c r="S114" s="17">
        <v>3</v>
      </c>
      <c r="T114" s="17" t="s">
        <v>495</v>
      </c>
      <c r="U114" s="17" t="str" cm="1">
        <f t="array" ref="U114">_xlfn.REGEXEXTRACT(B114,"(?&lt;=//)[^/]+")</f>
        <v>heavyfetish.com</v>
      </c>
    </row>
    <row r="115" spans="1:21" ht="45" x14ac:dyDescent="0.25">
      <c r="A115" s="17" t="str">
        <f>IF(ISBLANK(R115)=TRUE,"Pending","Done")</f>
        <v>Done</v>
      </c>
      <c r="B115" s="17" t="s">
        <v>732</v>
      </c>
      <c r="C115" s="17">
        <v>46</v>
      </c>
      <c r="D115" s="17" t="s">
        <v>729</v>
      </c>
      <c r="E115" s="17" t="s">
        <v>365</v>
      </c>
      <c r="F115" s="17" t="s">
        <v>507</v>
      </c>
      <c r="G115" s="17" t="s">
        <v>77</v>
      </c>
      <c r="H115" s="17" t="s">
        <v>382</v>
      </c>
      <c r="I115" s="17" t="s">
        <v>392</v>
      </c>
      <c r="J115" s="17" t="s">
        <v>509</v>
      </c>
      <c r="K115" s="17" t="s">
        <v>119</v>
      </c>
      <c r="L115" s="17" t="s">
        <v>344</v>
      </c>
      <c r="M115" s="17" t="s">
        <v>389</v>
      </c>
      <c r="N115" s="17" t="s">
        <v>327</v>
      </c>
      <c r="O115" s="17">
        <v>69</v>
      </c>
      <c r="P115" s="17" t="s">
        <v>127</v>
      </c>
      <c r="Q115" s="17" t="s">
        <v>188</v>
      </c>
      <c r="R115" s="17" t="s">
        <v>91</v>
      </c>
      <c r="S115" s="17">
        <v>3</v>
      </c>
      <c r="T115" s="17" t="s">
        <v>508</v>
      </c>
      <c r="U115" s="17" t="str" cm="1">
        <f t="array" ref="U115">_xlfn.REGEXEXTRACT(B115,"(?&lt;=//)[^/]+")</f>
        <v>spankbang.com</v>
      </c>
    </row>
    <row r="116" spans="1:21" ht="30" x14ac:dyDescent="0.25">
      <c r="A116" s="17" t="str">
        <f>IF(ISBLANK(R116)=TRUE,"Pending","Done")</f>
        <v>Done</v>
      </c>
      <c r="B116" s="17" t="s">
        <v>219</v>
      </c>
      <c r="C116" s="17">
        <v>44</v>
      </c>
      <c r="D116" s="17" t="s">
        <v>203</v>
      </c>
      <c r="E116" s="17" t="s">
        <v>221</v>
      </c>
      <c r="F116" s="17" t="s">
        <v>77</v>
      </c>
      <c r="G116" s="17" t="s">
        <v>77</v>
      </c>
      <c r="H116" s="17" t="s">
        <v>115</v>
      </c>
      <c r="I116" s="17" t="s">
        <v>102</v>
      </c>
      <c r="J116" s="17" t="s">
        <v>231</v>
      </c>
      <c r="K116" s="17" t="s">
        <v>173</v>
      </c>
      <c r="L116" s="17" t="s">
        <v>234</v>
      </c>
      <c r="M116" s="17" t="s">
        <v>77</v>
      </c>
      <c r="N116" s="17" t="s">
        <v>77</v>
      </c>
      <c r="O116" s="17" t="s">
        <v>232</v>
      </c>
      <c r="P116" s="17" t="s">
        <v>137</v>
      </c>
      <c r="Q116" s="17" t="s">
        <v>77</v>
      </c>
      <c r="R116" s="17" t="s">
        <v>233</v>
      </c>
      <c r="S116" s="17">
        <v>3</v>
      </c>
      <c r="T116" s="17" t="s">
        <v>251</v>
      </c>
      <c r="U116" s="17" t="str" cm="1">
        <f t="array" ref="U116">_xlfn.REGEXEXTRACT(B116,"(?&lt;=//)[^/]+")</f>
        <v>bdsmstreak.com</v>
      </c>
    </row>
    <row r="117" spans="1:21" ht="30" x14ac:dyDescent="0.25">
      <c r="A117" s="17" t="str">
        <f>IF(ISBLANK(R117)=TRUE,"Pending","Done")</f>
        <v>Done</v>
      </c>
      <c r="B117" s="17" t="s">
        <v>301</v>
      </c>
      <c r="C117" s="17">
        <v>44</v>
      </c>
      <c r="D117" s="17" t="s">
        <v>470</v>
      </c>
      <c r="E117" s="17" t="s">
        <v>384</v>
      </c>
      <c r="F117" s="17" t="s">
        <v>77</v>
      </c>
      <c r="G117" s="17" t="s">
        <v>77</v>
      </c>
      <c r="H117" s="17" t="s">
        <v>367</v>
      </c>
      <c r="I117" s="17" t="s">
        <v>471</v>
      </c>
      <c r="J117" s="17" t="s">
        <v>120</v>
      </c>
      <c r="K117" s="17" t="s">
        <v>389</v>
      </c>
      <c r="L117" s="17" t="s">
        <v>327</v>
      </c>
      <c r="M117" s="17" t="s">
        <v>77</v>
      </c>
      <c r="N117" s="17" t="s">
        <v>77</v>
      </c>
      <c r="O117" s="17" t="s">
        <v>332</v>
      </c>
      <c r="P117" s="17" t="s">
        <v>108</v>
      </c>
      <c r="Q117" s="17" t="s">
        <v>415</v>
      </c>
      <c r="R117" s="17" t="s">
        <v>91</v>
      </c>
      <c r="S117" s="17">
        <v>3</v>
      </c>
      <c r="T117" s="17" t="s">
        <v>472</v>
      </c>
      <c r="U117" s="17" t="str" cm="1">
        <f t="array" ref="U117">_xlfn.REGEXEXTRACT(B117,"(?&lt;=//)[^/]+")</f>
        <v>spankbang.com</v>
      </c>
    </row>
    <row r="118" spans="1:21" ht="30" x14ac:dyDescent="0.25">
      <c r="A118" s="17" t="str">
        <f>IF(ISBLANK(R118)=TRUE,"Pending","Done")</f>
        <v>Done</v>
      </c>
      <c r="B118" s="17" t="s">
        <v>1</v>
      </c>
      <c r="C118" s="17">
        <v>42</v>
      </c>
      <c r="D118" s="17" t="s">
        <v>434</v>
      </c>
      <c r="E118" s="17" t="s">
        <v>167</v>
      </c>
      <c r="F118" s="17" t="s">
        <v>77</v>
      </c>
      <c r="G118" s="17" t="s">
        <v>77</v>
      </c>
      <c r="H118" s="17" t="s">
        <v>367</v>
      </c>
      <c r="I118" s="17" t="s">
        <v>344</v>
      </c>
      <c r="J118" s="17" t="s">
        <v>120</v>
      </c>
      <c r="K118" s="17" t="s">
        <v>119</v>
      </c>
      <c r="L118" s="17" t="s">
        <v>389</v>
      </c>
      <c r="M118" s="17" t="s">
        <v>77</v>
      </c>
      <c r="N118" s="17" t="s">
        <v>77</v>
      </c>
      <c r="O118" s="17" t="s">
        <v>431</v>
      </c>
      <c r="P118" s="17" t="s">
        <v>127</v>
      </c>
      <c r="Q118" s="17" t="s">
        <v>128</v>
      </c>
      <c r="R118" s="17" t="s">
        <v>91</v>
      </c>
      <c r="S118" s="17">
        <v>3</v>
      </c>
      <c r="T118" s="17" t="s">
        <v>435</v>
      </c>
      <c r="U118" s="17" t="str" cm="1">
        <f t="array" ref="U118">_xlfn.REGEXEXTRACT(B118,"(?&lt;=//)[^/]+")</f>
        <v>www.pornhub.com</v>
      </c>
    </row>
    <row r="119" spans="1:21" x14ac:dyDescent="0.25">
      <c r="A119" s="17" t="str">
        <f>IF(ISBLANK(R119)=TRUE,"Pending","Done")</f>
        <v>Done</v>
      </c>
      <c r="B119" s="17" t="s">
        <v>316</v>
      </c>
      <c r="C119" s="17">
        <v>37</v>
      </c>
      <c r="D119" s="17" t="s">
        <v>412</v>
      </c>
      <c r="E119" s="17" t="s">
        <v>413</v>
      </c>
      <c r="F119" s="17" t="s">
        <v>77</v>
      </c>
      <c r="G119" s="17" t="s">
        <v>77</v>
      </c>
      <c r="H119" s="17" t="s">
        <v>367</v>
      </c>
      <c r="I119" s="17" t="s">
        <v>120</v>
      </c>
      <c r="J119" s="17" t="s">
        <v>266</v>
      </c>
      <c r="K119" s="17" t="s">
        <v>417</v>
      </c>
      <c r="L119" s="17" t="s">
        <v>161</v>
      </c>
      <c r="M119" s="17" t="s">
        <v>77</v>
      </c>
      <c r="N119" s="17" t="s">
        <v>77</v>
      </c>
      <c r="O119" s="17" t="s">
        <v>415</v>
      </c>
      <c r="P119" s="17" t="s">
        <v>362</v>
      </c>
      <c r="Q119" s="17" t="s">
        <v>394</v>
      </c>
      <c r="R119" s="17" t="s">
        <v>91</v>
      </c>
      <c r="S119" s="17">
        <v>3</v>
      </c>
      <c r="T119" s="17" t="s">
        <v>416</v>
      </c>
      <c r="U119" s="17" t="str" cm="1">
        <f t="array" ref="U119">_xlfn.REGEXEXTRACT(B119,"(?&lt;=//)[^/]+")</f>
        <v>pornxp.com</v>
      </c>
    </row>
    <row r="120" spans="1:21" ht="45" x14ac:dyDescent="0.25">
      <c r="A120" s="17" t="str">
        <f>IF(ISBLANK(R120)=TRUE,"Pending","Done")</f>
        <v>Done</v>
      </c>
      <c r="B120" s="17" t="s">
        <v>72</v>
      </c>
      <c r="C120" s="17">
        <v>32</v>
      </c>
      <c r="D120" s="17" t="s">
        <v>227</v>
      </c>
      <c r="E120" s="17" t="s">
        <v>227</v>
      </c>
      <c r="F120" s="17" t="s">
        <v>393</v>
      </c>
      <c r="G120" s="17" t="s">
        <v>77</v>
      </c>
      <c r="H120" s="17" t="s">
        <v>117</v>
      </c>
      <c r="I120" s="17" t="s">
        <v>397</v>
      </c>
      <c r="J120" s="17" t="s">
        <v>398</v>
      </c>
      <c r="K120" s="17" t="s">
        <v>400</v>
      </c>
      <c r="L120" s="17" t="s">
        <v>77</v>
      </c>
      <c r="M120" s="17" t="s">
        <v>77</v>
      </c>
      <c r="N120" s="17" t="s">
        <v>77</v>
      </c>
      <c r="O120" s="17" t="s">
        <v>188</v>
      </c>
      <c r="P120" s="17" t="s">
        <v>195</v>
      </c>
      <c r="Q120" s="17" t="s">
        <v>77</v>
      </c>
      <c r="R120" s="17" t="s">
        <v>91</v>
      </c>
      <c r="S120" s="17">
        <v>3</v>
      </c>
      <c r="T120" s="17" t="s">
        <v>399</v>
      </c>
      <c r="U120" s="17" t="str" cm="1">
        <f t="array" ref="U120">_xlfn.REGEXEXTRACT(B120,"(?&lt;=//)[^/]+")</f>
        <v>heavyfetish.com</v>
      </c>
    </row>
    <row r="121" spans="1:21" ht="45" x14ac:dyDescent="0.25">
      <c r="A121" s="17" t="str">
        <f>IF(ISBLANK(R121)=TRUE,"Pending","Done")</f>
        <v>Done</v>
      </c>
      <c r="B121" s="17" t="s">
        <v>74</v>
      </c>
      <c r="C121" s="17">
        <v>30</v>
      </c>
      <c r="D121" s="17" t="s">
        <v>364</v>
      </c>
      <c r="E121" s="17" t="s">
        <v>365</v>
      </c>
      <c r="F121" s="17" t="s">
        <v>366</v>
      </c>
      <c r="G121" s="17" t="s">
        <v>77</v>
      </c>
      <c r="H121" s="17" t="s">
        <v>382</v>
      </c>
      <c r="I121" s="17" t="s">
        <v>118</v>
      </c>
      <c r="J121" s="17" t="s">
        <v>119</v>
      </c>
      <c r="K121" s="17" t="s">
        <v>161</v>
      </c>
      <c r="L121" s="17" t="s">
        <v>380</v>
      </c>
      <c r="M121" s="17" t="s">
        <v>381</v>
      </c>
      <c r="N121" s="17" t="s">
        <v>77</v>
      </c>
      <c r="O121" s="17" t="s">
        <v>195</v>
      </c>
      <c r="P121" s="17">
        <v>69</v>
      </c>
      <c r="Q121" s="17" t="s">
        <v>137</v>
      </c>
      <c r="R121" s="17" t="s">
        <v>91</v>
      </c>
      <c r="S121" s="17">
        <v>3</v>
      </c>
      <c r="T121" s="17" t="s">
        <v>379</v>
      </c>
      <c r="U121" s="17" t="str" cm="1">
        <f t="array" ref="U121">_xlfn.REGEXEXTRACT(B121,"(?&lt;=//)[^/]+")</f>
        <v>tube.perverzija.com</v>
      </c>
    </row>
    <row r="122" spans="1:21" ht="30" x14ac:dyDescent="0.25">
      <c r="A122" s="17" t="str">
        <f>IF(ISBLANK(R122)=TRUE,"Pending","Done")</f>
        <v>Done</v>
      </c>
      <c r="B122" s="17" t="s">
        <v>42</v>
      </c>
      <c r="C122" s="17">
        <v>30</v>
      </c>
      <c r="D122" s="17" t="s">
        <v>383</v>
      </c>
      <c r="E122" s="17" t="s">
        <v>384</v>
      </c>
      <c r="F122" s="17" t="s">
        <v>77</v>
      </c>
      <c r="G122" s="17" t="s">
        <v>77</v>
      </c>
      <c r="H122" s="17" t="s">
        <v>368</v>
      </c>
      <c r="I122" s="17" t="s">
        <v>101</v>
      </c>
      <c r="J122" s="17" t="s">
        <v>386</v>
      </c>
      <c r="K122" s="17" t="s">
        <v>389</v>
      </c>
      <c r="L122" s="17" t="s">
        <v>388</v>
      </c>
      <c r="M122" s="17" t="s">
        <v>77</v>
      </c>
      <c r="N122" s="17" t="s">
        <v>77</v>
      </c>
      <c r="O122" s="17" t="s">
        <v>188</v>
      </c>
      <c r="P122" s="17" t="s">
        <v>128</v>
      </c>
      <c r="Q122" s="17" t="s">
        <v>387</v>
      </c>
      <c r="R122" s="17" t="s">
        <v>91</v>
      </c>
      <c r="S122" s="17">
        <v>3</v>
      </c>
      <c r="T122" s="17" t="s">
        <v>385</v>
      </c>
      <c r="U122" s="17" t="str" cm="1">
        <f t="array" ref="U122">_xlfn.REGEXEXTRACT(B122,"(?&lt;=//)[^/]+")</f>
        <v>www.pornhub.com</v>
      </c>
    </row>
    <row r="123" spans="1:21" ht="30" x14ac:dyDescent="0.25">
      <c r="A123" s="17" t="str">
        <f>IF(ISBLANK(R123)=TRUE,"Pending","Done")</f>
        <v>Done</v>
      </c>
      <c r="B123" s="17" t="s">
        <v>2</v>
      </c>
      <c r="C123" s="17">
        <v>28</v>
      </c>
      <c r="D123" s="17" t="s">
        <v>361</v>
      </c>
      <c r="E123" s="17" t="s">
        <v>167</v>
      </c>
      <c r="F123" s="17" t="s">
        <v>77</v>
      </c>
      <c r="G123" s="17" t="s">
        <v>77</v>
      </c>
      <c r="H123" s="17" t="s">
        <v>367</v>
      </c>
      <c r="I123" s="17" t="s">
        <v>120</v>
      </c>
      <c r="J123" s="17" t="s">
        <v>389</v>
      </c>
      <c r="K123" s="17" t="s">
        <v>327</v>
      </c>
      <c r="L123" s="17" t="s">
        <v>77</v>
      </c>
      <c r="M123" s="17" t="s">
        <v>77</v>
      </c>
      <c r="N123" s="17" t="s">
        <v>77</v>
      </c>
      <c r="O123" s="17" t="s">
        <v>332</v>
      </c>
      <c r="P123" s="17" t="s">
        <v>127</v>
      </c>
      <c r="Q123" s="17" t="s">
        <v>362</v>
      </c>
      <c r="R123" s="17" t="s">
        <v>91</v>
      </c>
      <c r="S123" s="17">
        <v>3</v>
      </c>
      <c r="T123" s="17" t="s">
        <v>363</v>
      </c>
      <c r="U123" s="17" t="str" cm="1">
        <f t="array" ref="U123">_xlfn.REGEXEXTRACT(B123,"(?&lt;=//)[^/]+")</f>
        <v>www.pornhub.com</v>
      </c>
    </row>
    <row r="124" spans="1:21" ht="30" x14ac:dyDescent="0.25">
      <c r="A124" s="17" t="str">
        <f>IF(ISBLANK(R124)=TRUE,"Pending","Done")</f>
        <v>Done</v>
      </c>
      <c r="B124" s="17" t="s">
        <v>282</v>
      </c>
      <c r="C124" s="17">
        <v>25</v>
      </c>
      <c r="D124" s="17" t="s">
        <v>131</v>
      </c>
      <c r="E124" s="17" t="s">
        <v>446</v>
      </c>
      <c r="F124" s="17" t="s">
        <v>77</v>
      </c>
      <c r="G124" s="17" t="s">
        <v>77</v>
      </c>
      <c r="H124" s="17" t="s">
        <v>116</v>
      </c>
      <c r="I124" s="17" t="s">
        <v>153</v>
      </c>
      <c r="J124" s="17" t="s">
        <v>341</v>
      </c>
      <c r="K124" s="17" t="s">
        <v>134</v>
      </c>
      <c r="L124" s="17" t="s">
        <v>107</v>
      </c>
      <c r="M124" s="17" t="s">
        <v>100</v>
      </c>
      <c r="N124" s="17" t="s">
        <v>77</v>
      </c>
      <c r="O124" s="17" t="s">
        <v>357</v>
      </c>
      <c r="P124" s="17" t="s">
        <v>232</v>
      </c>
      <c r="Q124" s="17" t="s">
        <v>77</v>
      </c>
      <c r="R124" s="17" t="s">
        <v>91</v>
      </c>
      <c r="S124" s="17">
        <v>3</v>
      </c>
      <c r="T124" s="17" t="s">
        <v>358</v>
      </c>
      <c r="U124" s="17" t="str" cm="1">
        <f t="array" ref="U124">_xlfn.REGEXEXTRACT(B124,"(?&lt;=//)[^/]+")</f>
        <v>heavyfetish.com</v>
      </c>
    </row>
    <row r="125" spans="1:21" ht="30" x14ac:dyDescent="0.25">
      <c r="A125" s="17" t="str">
        <f>IF(ISBLANK(R125)=TRUE,"Pending","Done")</f>
        <v>Done</v>
      </c>
      <c r="B125" s="17" t="s">
        <v>224</v>
      </c>
      <c r="C125" s="17">
        <v>24</v>
      </c>
      <c r="D125" s="17" t="s">
        <v>227</v>
      </c>
      <c r="E125" s="17" t="s">
        <v>225</v>
      </c>
      <c r="F125" s="17" t="s">
        <v>226</v>
      </c>
      <c r="G125" s="17" t="s">
        <v>77</v>
      </c>
      <c r="H125" s="17" t="s">
        <v>117</v>
      </c>
      <c r="I125" s="17" t="s">
        <v>255</v>
      </c>
      <c r="J125" s="17" t="s">
        <v>256</v>
      </c>
      <c r="K125" s="17" t="s">
        <v>258</v>
      </c>
      <c r="L125" s="17" t="s">
        <v>259</v>
      </c>
      <c r="M125" s="17" t="s">
        <v>77</v>
      </c>
      <c r="N125" s="17" t="s">
        <v>77</v>
      </c>
      <c r="O125" s="17" t="s">
        <v>254</v>
      </c>
      <c r="P125" s="17" t="s">
        <v>77</v>
      </c>
      <c r="Q125" s="17" t="s">
        <v>77</v>
      </c>
      <c r="R125" s="17" t="s">
        <v>91</v>
      </c>
      <c r="S125" s="17">
        <v>3</v>
      </c>
      <c r="T125" s="17" t="s">
        <v>257</v>
      </c>
      <c r="U125" s="17" t="str" cm="1">
        <f t="array" ref="U125">_xlfn.REGEXEXTRACT(B125,"(?&lt;=//)[^/]+")</f>
        <v>heavyfetish.com</v>
      </c>
    </row>
    <row r="126" spans="1:21" ht="30" x14ac:dyDescent="0.25">
      <c r="A126" s="17" t="str">
        <f>IF(ISBLANK(R126)=TRUE,"Pending","Done")</f>
        <v>Done</v>
      </c>
      <c r="B126" s="17" t="s">
        <v>6</v>
      </c>
      <c r="C126" s="17">
        <v>18</v>
      </c>
      <c r="D126" s="17" t="s">
        <v>348</v>
      </c>
      <c r="E126" s="17" t="s">
        <v>352</v>
      </c>
      <c r="F126" s="17" t="s">
        <v>77</v>
      </c>
      <c r="G126" s="17" t="s">
        <v>77</v>
      </c>
      <c r="H126" s="17" t="s">
        <v>116</v>
      </c>
      <c r="I126" s="17" t="s">
        <v>153</v>
      </c>
      <c r="J126" s="17" t="s">
        <v>118</v>
      </c>
      <c r="K126" s="17" t="s">
        <v>134</v>
      </c>
      <c r="L126" s="17" t="s">
        <v>353</v>
      </c>
      <c r="M126" s="17" t="s">
        <v>143</v>
      </c>
      <c r="N126" s="17" t="s">
        <v>77</v>
      </c>
      <c r="O126" s="17" t="s">
        <v>126</v>
      </c>
      <c r="P126" s="17" t="s">
        <v>77</v>
      </c>
      <c r="Q126" s="17" t="s">
        <v>77</v>
      </c>
      <c r="R126" s="17" t="s">
        <v>91</v>
      </c>
      <c r="S126" s="17">
        <v>3</v>
      </c>
      <c r="T126" s="17" t="s">
        <v>354</v>
      </c>
      <c r="U126" s="17" t="str" cm="1">
        <f t="array" ref="U126">_xlfn.REGEXEXTRACT(B126,"(?&lt;=//)[^/]+")</f>
        <v>heavyfetish.com</v>
      </c>
    </row>
    <row r="127" spans="1:21" ht="45" x14ac:dyDescent="0.25">
      <c r="A127" s="17" t="str">
        <f>IF(ISBLANK(R127)=TRUE,"Pending","Done")</f>
        <v>Done</v>
      </c>
      <c r="B127" s="17" t="s">
        <v>312</v>
      </c>
      <c r="C127" s="17">
        <v>10</v>
      </c>
      <c r="D127" s="17" t="s">
        <v>330</v>
      </c>
      <c r="E127" s="17" t="s">
        <v>331</v>
      </c>
      <c r="F127" s="17" t="s">
        <v>77</v>
      </c>
      <c r="G127" s="17" t="s">
        <v>77</v>
      </c>
      <c r="H127" s="17" t="s">
        <v>367</v>
      </c>
      <c r="I127" s="17" t="s">
        <v>101</v>
      </c>
      <c r="J127" s="17" t="s">
        <v>120</v>
      </c>
      <c r="K127" s="17" t="s">
        <v>389</v>
      </c>
      <c r="L127" s="17" t="s">
        <v>266</v>
      </c>
      <c r="M127" s="17" t="s">
        <v>334</v>
      </c>
      <c r="N127" s="17" t="s">
        <v>335</v>
      </c>
      <c r="O127" s="17" t="s">
        <v>332</v>
      </c>
      <c r="P127" s="17" t="s">
        <v>127</v>
      </c>
      <c r="Q127" s="17" t="s">
        <v>333</v>
      </c>
      <c r="R127" s="17" t="s">
        <v>91</v>
      </c>
      <c r="S127" s="17">
        <v>3</v>
      </c>
      <c r="T127" s="17" t="s">
        <v>336</v>
      </c>
      <c r="U127" s="17" t="str" cm="1">
        <f t="array" ref="U127">_xlfn.REGEXEXTRACT(B127,"(?&lt;=//)[^/]+")</f>
        <v>www.tnaflix.com</v>
      </c>
    </row>
    <row r="128" spans="1:21" ht="45" x14ac:dyDescent="0.25">
      <c r="A128" s="17" t="str">
        <f>IF(ISBLANK(R128)=TRUE,"Pending","Done")</f>
        <v>Done</v>
      </c>
      <c r="B128" s="17" t="s">
        <v>40</v>
      </c>
      <c r="C128" s="17">
        <v>9</v>
      </c>
      <c r="D128" s="17" t="s">
        <v>110</v>
      </c>
      <c r="E128" s="17" t="s">
        <v>445</v>
      </c>
      <c r="F128" s="17" t="s">
        <v>77</v>
      </c>
      <c r="G128" s="17" t="s">
        <v>77</v>
      </c>
      <c r="H128" s="17" t="s">
        <v>116</v>
      </c>
      <c r="I128" s="17" t="s">
        <v>612</v>
      </c>
      <c r="J128" s="17" t="s">
        <v>112</v>
      </c>
      <c r="K128" s="17" t="s">
        <v>111</v>
      </c>
      <c r="L128" s="17" t="s">
        <v>77</v>
      </c>
      <c r="M128" s="17" t="s">
        <v>77</v>
      </c>
      <c r="N128" s="17" t="s">
        <v>77</v>
      </c>
      <c r="O128" s="17" t="s">
        <v>108</v>
      </c>
      <c r="P128" s="17" t="s">
        <v>77</v>
      </c>
      <c r="Q128" s="17" t="s">
        <v>77</v>
      </c>
      <c r="R128" s="17" t="s">
        <v>91</v>
      </c>
      <c r="S128" s="17">
        <v>3</v>
      </c>
      <c r="T128" s="17" t="s">
        <v>113</v>
      </c>
      <c r="U128" s="17" t="str" cm="1">
        <f t="array" ref="U128">_xlfn.REGEXEXTRACT(B128,"(?&lt;=//)[^/]+")</f>
        <v>anyporn.com</v>
      </c>
    </row>
    <row r="129" spans="1:21" ht="60" x14ac:dyDescent="0.25">
      <c r="A129" s="17" t="str">
        <f>IF(ISBLANK(R129)=TRUE,"Pending","Done")</f>
        <v>Done</v>
      </c>
      <c r="B129" s="17" t="s">
        <v>763</v>
      </c>
      <c r="C129" s="17">
        <v>5</v>
      </c>
      <c r="D129" s="17" t="s">
        <v>729</v>
      </c>
      <c r="E129" s="17" t="s">
        <v>729</v>
      </c>
      <c r="F129" s="17" t="s">
        <v>77</v>
      </c>
      <c r="G129" s="17" t="s">
        <v>77</v>
      </c>
      <c r="H129" s="17" t="s">
        <v>192</v>
      </c>
      <c r="I129" s="17" t="s">
        <v>736</v>
      </c>
      <c r="J129" s="17" t="s">
        <v>778</v>
      </c>
      <c r="K129" s="17" t="s">
        <v>77</v>
      </c>
      <c r="L129" s="17" t="s">
        <v>77</v>
      </c>
      <c r="M129" s="17" t="s">
        <v>77</v>
      </c>
      <c r="N129" s="17" t="s">
        <v>77</v>
      </c>
      <c r="O129" s="17" t="s">
        <v>437</v>
      </c>
      <c r="P129" s="17" t="s">
        <v>77</v>
      </c>
      <c r="Q129" s="17" t="s">
        <v>77</v>
      </c>
      <c r="R129" s="17" t="s">
        <v>776</v>
      </c>
      <c r="S129" s="17">
        <v>3</v>
      </c>
      <c r="T129" s="17" t="s">
        <v>777</v>
      </c>
      <c r="U129" s="17" t="str" cm="1">
        <f t="array" ref="U129">_xlfn.REGEXEXTRACT(B129,"(?&lt;=//)[^/]+")</f>
        <v>www.eporner.com</v>
      </c>
    </row>
    <row r="130" spans="1:21" ht="90" x14ac:dyDescent="0.25">
      <c r="A130" s="17" t="str">
        <f>IF(ISBLANK(R130)=TRUE,"Pending","Done")</f>
        <v>Done</v>
      </c>
      <c r="B130" s="17" t="s">
        <v>725</v>
      </c>
      <c r="C130" s="17">
        <v>4</v>
      </c>
      <c r="D130" s="17" t="s">
        <v>190</v>
      </c>
      <c r="E130" s="17" t="s">
        <v>727</v>
      </c>
      <c r="F130" s="17" t="s">
        <v>77</v>
      </c>
      <c r="G130" s="17" t="s">
        <v>77</v>
      </c>
      <c r="H130" s="17" t="s">
        <v>192</v>
      </c>
      <c r="I130" s="17" t="s">
        <v>133</v>
      </c>
      <c r="J130" s="17" t="s">
        <v>120</v>
      </c>
      <c r="K130" s="17" t="s">
        <v>774</v>
      </c>
      <c r="L130" s="17" t="s">
        <v>77</v>
      </c>
      <c r="M130" s="17" t="s">
        <v>77</v>
      </c>
      <c r="N130" s="17" t="s">
        <v>77</v>
      </c>
      <c r="O130" s="17" t="s">
        <v>188</v>
      </c>
      <c r="P130" s="17" t="s">
        <v>77</v>
      </c>
      <c r="Q130" s="17" t="s">
        <v>77</v>
      </c>
      <c r="R130" s="17" t="s">
        <v>91</v>
      </c>
      <c r="S130" s="17">
        <v>3</v>
      </c>
      <c r="T130" s="17" t="s">
        <v>775</v>
      </c>
      <c r="U130" s="17" t="str" cm="1">
        <f t="array" ref="U130">_xlfn.REGEXEXTRACT(B130,"(?&lt;=//)[^/]+")</f>
        <v>www.porntopedia.com</v>
      </c>
    </row>
    <row r="131" spans="1:21" ht="30" x14ac:dyDescent="0.25">
      <c r="A131" s="17" t="str">
        <f>IF(ISBLANK(R131)=TRUE,"Pending","Done")</f>
        <v>Done</v>
      </c>
      <c r="B131" s="17" t="s">
        <v>307</v>
      </c>
      <c r="C131" s="17">
        <v>0</v>
      </c>
      <c r="D131" s="17" t="s">
        <v>796</v>
      </c>
      <c r="E131" s="17" t="s">
        <v>347</v>
      </c>
      <c r="F131" s="17" t="s">
        <v>77</v>
      </c>
      <c r="G131" s="17" t="s">
        <v>77</v>
      </c>
      <c r="H131" s="17" t="s">
        <v>116</v>
      </c>
      <c r="I131" s="17" t="s">
        <v>612</v>
      </c>
      <c r="J131" s="17" t="s">
        <v>134</v>
      </c>
      <c r="K131" s="17" t="s">
        <v>102</v>
      </c>
      <c r="L131" s="17" t="s">
        <v>153</v>
      </c>
      <c r="M131" s="17" t="s">
        <v>120</v>
      </c>
      <c r="N131" s="17" t="s">
        <v>374</v>
      </c>
      <c r="O131" s="17" t="s">
        <v>394</v>
      </c>
      <c r="P131" s="17" t="s">
        <v>492</v>
      </c>
      <c r="Q131" s="17" t="s">
        <v>437</v>
      </c>
      <c r="R131" s="17" t="s">
        <v>91</v>
      </c>
      <c r="S131" s="17">
        <v>3</v>
      </c>
      <c r="T131" s="17" t="s">
        <v>613</v>
      </c>
      <c r="U131" s="17" t="str" cm="1">
        <f t="array" ref="U131">_xlfn.REGEXEXTRACT(B131,"(?&lt;=//)[^/]+")</f>
        <v>curebdsm.com</v>
      </c>
    </row>
    <row r="132" spans="1:21" ht="30" x14ac:dyDescent="0.25">
      <c r="A132" s="17" t="str">
        <f>IF(ISBLANK(R132)=TRUE,"Pending","Done")</f>
        <v>Done</v>
      </c>
      <c r="B132" s="17" t="s">
        <v>306</v>
      </c>
      <c r="C132" s="17">
        <v>0</v>
      </c>
      <c r="D132" s="17" t="s">
        <v>796</v>
      </c>
      <c r="E132" s="17" t="s">
        <v>401</v>
      </c>
      <c r="F132" s="17" t="s">
        <v>77</v>
      </c>
      <c r="G132" s="17" t="s">
        <v>77</v>
      </c>
      <c r="H132" s="17" t="s">
        <v>116</v>
      </c>
      <c r="I132" s="17" t="s">
        <v>612</v>
      </c>
      <c r="J132" s="17" t="s">
        <v>134</v>
      </c>
      <c r="K132" s="17" t="s">
        <v>173</v>
      </c>
      <c r="L132" s="17" t="s">
        <v>614</v>
      </c>
      <c r="M132" s="17" t="s">
        <v>102</v>
      </c>
      <c r="N132" s="17" t="s">
        <v>100</v>
      </c>
      <c r="O132" s="17" t="s">
        <v>188</v>
      </c>
      <c r="P132" s="17" t="s">
        <v>550</v>
      </c>
      <c r="Q132" s="17" t="s">
        <v>103</v>
      </c>
      <c r="R132" s="17" t="s">
        <v>91</v>
      </c>
      <c r="S132" s="17">
        <v>3</v>
      </c>
      <c r="T132" s="17" t="s">
        <v>615</v>
      </c>
      <c r="U132" s="17" t="str" cm="1">
        <f t="array" ref="U132">_xlfn.REGEXEXTRACT(B132,"(?&lt;=//)[^/]+")</f>
        <v>curebdsm.com</v>
      </c>
    </row>
    <row r="133" spans="1:21" ht="60" x14ac:dyDescent="0.25">
      <c r="A133" s="17" t="str">
        <f>IF(ISBLANK(R133)=TRUE,"Pending","Done")</f>
        <v>Done</v>
      </c>
      <c r="B133" s="17" t="s">
        <v>295</v>
      </c>
      <c r="C133" s="17">
        <v>64</v>
      </c>
      <c r="D133" s="17" t="s">
        <v>596</v>
      </c>
      <c r="E133" s="17" t="s">
        <v>602</v>
      </c>
      <c r="F133" s="17" t="s">
        <v>77</v>
      </c>
      <c r="G133" s="17" t="s">
        <v>77</v>
      </c>
      <c r="H133" s="17" t="s">
        <v>367</v>
      </c>
      <c r="I133" s="17" t="s">
        <v>339</v>
      </c>
      <c r="J133" s="17" t="s">
        <v>597</v>
      </c>
      <c r="K133" s="17" t="s">
        <v>598</v>
      </c>
      <c r="L133" s="17" t="s">
        <v>161</v>
      </c>
      <c r="M133" s="17" t="s">
        <v>266</v>
      </c>
      <c r="N133" s="17" t="s">
        <v>120</v>
      </c>
      <c r="O133" s="17" t="s">
        <v>108</v>
      </c>
      <c r="P133" s="17" t="s">
        <v>387</v>
      </c>
      <c r="Q133" s="17" t="s">
        <v>600</v>
      </c>
      <c r="R133" s="17" t="s">
        <v>91</v>
      </c>
      <c r="S133" s="17">
        <v>2</v>
      </c>
      <c r="T133" s="17" t="s">
        <v>599</v>
      </c>
      <c r="U133" s="17" t="str" cm="1">
        <f t="array" ref="U133">_xlfn.REGEXEXTRACT(B133,"(?&lt;=//)[^/]+")</f>
        <v>www.peekvids.com</v>
      </c>
    </row>
    <row r="134" spans="1:21" ht="30" x14ac:dyDescent="0.25">
      <c r="A134" s="17" t="str">
        <f>IF(ISBLANK(R134)=TRUE,"Pending","Done")</f>
        <v>Done</v>
      </c>
      <c r="B134" s="17" t="s">
        <v>71</v>
      </c>
      <c r="C134" s="17">
        <v>57</v>
      </c>
      <c r="D134" s="17" t="s">
        <v>578</v>
      </c>
      <c r="E134" s="17" t="s">
        <v>579</v>
      </c>
      <c r="F134" s="17" t="s">
        <v>77</v>
      </c>
      <c r="G134" s="17" t="s">
        <v>77</v>
      </c>
      <c r="H134" s="17" t="s">
        <v>116</v>
      </c>
      <c r="I134" s="17" t="s">
        <v>102</v>
      </c>
      <c r="J134" s="17" t="s">
        <v>146</v>
      </c>
      <c r="K134" s="17" t="s">
        <v>120</v>
      </c>
      <c r="L134" s="17" t="s">
        <v>134</v>
      </c>
      <c r="M134" s="17" t="s">
        <v>389</v>
      </c>
      <c r="N134" s="17" t="s">
        <v>266</v>
      </c>
      <c r="O134" s="17" t="s">
        <v>437</v>
      </c>
      <c r="P134" s="17" t="s">
        <v>415</v>
      </c>
      <c r="Q134" s="17" t="s">
        <v>582</v>
      </c>
      <c r="R134" s="17" t="s">
        <v>91</v>
      </c>
      <c r="S134" s="17">
        <v>2</v>
      </c>
      <c r="T134" s="17" t="s">
        <v>580</v>
      </c>
      <c r="U134" s="17" t="str" cm="1">
        <f t="array" ref="U134">_xlfn.REGEXEXTRACT(B134,"(?&lt;=//)[^/]+")</f>
        <v>heavyfetish.com</v>
      </c>
    </row>
    <row r="135" spans="1:21" ht="45" x14ac:dyDescent="0.25">
      <c r="A135" s="17" t="str">
        <f>IF(ISBLANK(R135)=TRUE,"Pending","Done")</f>
        <v>Done</v>
      </c>
      <c r="B135" s="17" t="s">
        <v>310</v>
      </c>
      <c r="C135" s="17">
        <v>57</v>
      </c>
      <c r="D135" s="17" t="s">
        <v>493</v>
      </c>
      <c r="E135" s="17" t="s">
        <v>454</v>
      </c>
      <c r="F135" s="17" t="s">
        <v>575</v>
      </c>
      <c r="G135" s="17" t="s">
        <v>77</v>
      </c>
      <c r="H135" s="17" t="s">
        <v>117</v>
      </c>
      <c r="I135" s="17" t="s">
        <v>477</v>
      </c>
      <c r="J135" s="17" t="s">
        <v>129</v>
      </c>
      <c r="K135" s="17" t="s">
        <v>353</v>
      </c>
      <c r="L135" s="17" t="s">
        <v>264</v>
      </c>
      <c r="M135" s="17" t="s">
        <v>77</v>
      </c>
      <c r="N135" s="17" t="s">
        <v>77</v>
      </c>
      <c r="O135" s="17" t="s">
        <v>584</v>
      </c>
      <c r="P135" s="17" t="s">
        <v>394</v>
      </c>
      <c r="Q135" s="17" t="s">
        <v>127</v>
      </c>
      <c r="R135" s="17" t="s">
        <v>91</v>
      </c>
      <c r="S135" s="17">
        <v>2</v>
      </c>
      <c r="T135" s="17" t="s">
        <v>585</v>
      </c>
      <c r="U135" s="17" t="str" cm="1">
        <f t="array" ref="U135">_xlfn.REGEXEXTRACT(B135,"(?&lt;=//)[^/]+")</f>
        <v>www.omg.xxx</v>
      </c>
    </row>
    <row r="136" spans="1:21" ht="30" x14ac:dyDescent="0.25">
      <c r="A136" s="17" t="str">
        <f>IF(ISBLANK(R136)=TRUE,"Pending","Done")</f>
        <v>Done</v>
      </c>
      <c r="B136" s="17" t="s">
        <v>287</v>
      </c>
      <c r="C136" s="17">
        <v>47</v>
      </c>
      <c r="D136" s="17" t="s">
        <v>260</v>
      </c>
      <c r="E136" s="17" t="s">
        <v>515</v>
      </c>
      <c r="F136" s="17" t="s">
        <v>516</v>
      </c>
      <c r="G136" s="17" t="s">
        <v>77</v>
      </c>
      <c r="H136" s="17" t="s">
        <v>117</v>
      </c>
      <c r="I136" s="17" t="s">
        <v>264</v>
      </c>
      <c r="J136" s="17" t="s">
        <v>517</v>
      </c>
      <c r="K136" s="17" t="s">
        <v>119</v>
      </c>
      <c r="L136" s="17" t="s">
        <v>161</v>
      </c>
      <c r="M136" s="17" t="s">
        <v>519</v>
      </c>
      <c r="N136" s="17" t="s">
        <v>520</v>
      </c>
      <c r="O136" s="17" t="s">
        <v>126</v>
      </c>
      <c r="P136" s="17" t="s">
        <v>492</v>
      </c>
      <c r="Q136" s="17" t="s">
        <v>195</v>
      </c>
      <c r="R136" s="17" t="s">
        <v>91</v>
      </c>
      <c r="S136" s="17">
        <v>2</v>
      </c>
      <c r="T136" s="17" t="s">
        <v>518</v>
      </c>
      <c r="U136" s="17" t="str" cm="1">
        <f t="array" ref="U136">_xlfn.REGEXEXTRACT(B136,"(?&lt;=//)[^/]+")</f>
        <v>m.hqporner.com</v>
      </c>
    </row>
    <row r="137" spans="1:21" ht="30" x14ac:dyDescent="0.25">
      <c r="A137" s="17" t="str">
        <f>IF(ISBLANK(R137)=TRUE,"Pending","Done")</f>
        <v>Done</v>
      </c>
      <c r="B137" s="17" t="s">
        <v>48</v>
      </c>
      <c r="C137" s="17">
        <v>45</v>
      </c>
      <c r="D137" s="17" t="s">
        <v>147</v>
      </c>
      <c r="E137" s="17" t="s">
        <v>215</v>
      </c>
      <c r="F137" s="17" t="s">
        <v>77</v>
      </c>
      <c r="G137" s="17" t="s">
        <v>77</v>
      </c>
      <c r="H137" s="17" t="s">
        <v>117</v>
      </c>
      <c r="I137" s="17" t="s">
        <v>153</v>
      </c>
      <c r="J137" s="17" t="s">
        <v>102</v>
      </c>
      <c r="K137" s="17" t="s">
        <v>480</v>
      </c>
      <c r="L137" s="17" t="s">
        <v>183</v>
      </c>
      <c r="M137" s="17" t="s">
        <v>481</v>
      </c>
      <c r="N137" s="17" t="s">
        <v>482</v>
      </c>
      <c r="O137" s="17" t="s">
        <v>394</v>
      </c>
      <c r="P137" s="17" t="s">
        <v>387</v>
      </c>
      <c r="Q137" s="17" t="s">
        <v>481</v>
      </c>
      <c r="R137" s="17" t="s">
        <v>91</v>
      </c>
      <c r="S137" s="17">
        <v>2</v>
      </c>
      <c r="T137" s="17" t="s">
        <v>479</v>
      </c>
      <c r="U137" s="17" t="str" cm="1">
        <f t="array" ref="U137">_xlfn.REGEXEXTRACT(B137,"(?&lt;=//)[^/]+")</f>
        <v>heavyfetish.com</v>
      </c>
    </row>
    <row r="138" spans="1:21" ht="30" x14ac:dyDescent="0.25">
      <c r="A138" s="17" t="str">
        <f>IF(ISBLANK(R138)=TRUE,"Pending","Done")</f>
        <v>Done</v>
      </c>
      <c r="B138" s="17" t="s">
        <v>304</v>
      </c>
      <c r="C138" s="17">
        <v>32</v>
      </c>
      <c r="D138" s="17" t="s">
        <v>131</v>
      </c>
      <c r="E138" s="17" t="s">
        <v>401</v>
      </c>
      <c r="F138" s="17" t="s">
        <v>77</v>
      </c>
      <c r="G138" s="17" t="s">
        <v>77</v>
      </c>
      <c r="H138" s="17" t="s">
        <v>116</v>
      </c>
      <c r="I138" s="17" t="s">
        <v>134</v>
      </c>
      <c r="J138" s="17" t="s">
        <v>402</v>
      </c>
      <c r="K138" s="17" t="s">
        <v>389</v>
      </c>
      <c r="L138" s="17" t="s">
        <v>100</v>
      </c>
      <c r="M138" s="17" t="s">
        <v>77</v>
      </c>
      <c r="N138" s="17" t="s">
        <v>77</v>
      </c>
      <c r="O138" s="17" t="s">
        <v>569</v>
      </c>
      <c r="P138" s="17" t="s">
        <v>77</v>
      </c>
      <c r="Q138" s="17" t="s">
        <v>77</v>
      </c>
      <c r="R138" s="17" t="s">
        <v>91</v>
      </c>
      <c r="S138" s="17">
        <v>2</v>
      </c>
      <c r="T138" s="17" t="s">
        <v>403</v>
      </c>
      <c r="U138" s="17" t="str" cm="1">
        <f t="array" ref="U138">_xlfn.REGEXEXTRACT(B138,"(?&lt;=//)[^/]+")</f>
        <v>heavyfetish.com</v>
      </c>
    </row>
    <row r="139" spans="1:21" ht="30" x14ac:dyDescent="0.25">
      <c r="A139" s="17" t="str">
        <f>IF(ISBLANK(R139)=TRUE,"Pending","Done")</f>
        <v>Done</v>
      </c>
      <c r="B139" s="17" t="s">
        <v>318</v>
      </c>
      <c r="C139" s="17">
        <v>23</v>
      </c>
      <c r="D139" s="17" t="s">
        <v>227</v>
      </c>
      <c r="E139" s="17" t="s">
        <v>227</v>
      </c>
      <c r="F139" s="17" t="s">
        <v>226</v>
      </c>
      <c r="G139" s="17" t="s">
        <v>77</v>
      </c>
      <c r="H139" s="17" t="s">
        <v>117</v>
      </c>
      <c r="I139" s="17" t="s">
        <v>133</v>
      </c>
      <c r="J139" s="17" t="s">
        <v>355</v>
      </c>
      <c r="K139" s="17" t="s">
        <v>134</v>
      </c>
      <c r="L139" s="17" t="s">
        <v>77</v>
      </c>
      <c r="M139" s="17" t="s">
        <v>77</v>
      </c>
      <c r="N139" s="17" t="s">
        <v>77</v>
      </c>
      <c r="O139" s="17" t="s">
        <v>188</v>
      </c>
      <c r="P139" s="17" t="s">
        <v>77</v>
      </c>
      <c r="Q139" s="17" t="s">
        <v>77</v>
      </c>
      <c r="R139" s="17" t="s">
        <v>91</v>
      </c>
      <c r="S139" s="17">
        <v>2</v>
      </c>
      <c r="T139" s="17" t="s">
        <v>356</v>
      </c>
      <c r="U139" s="17" t="str" cm="1">
        <f t="array" ref="U139">_xlfn.REGEXEXTRACT(B139,"(?&lt;=//)[^/]+")</f>
        <v>heavyfetish.com</v>
      </c>
    </row>
    <row r="140" spans="1:21" ht="45" x14ac:dyDescent="0.25">
      <c r="A140" s="17" t="str">
        <f>IF(ISBLANK(R140)=TRUE,"Pending","Done")</f>
        <v>Done</v>
      </c>
      <c r="B140" s="17" t="s">
        <v>275</v>
      </c>
      <c r="C140" s="17">
        <v>18</v>
      </c>
      <c r="D140" s="17" t="s">
        <v>729</v>
      </c>
      <c r="E140" s="17" t="s">
        <v>276</v>
      </c>
      <c r="F140" s="17" t="s">
        <v>277</v>
      </c>
      <c r="G140" s="17" t="s">
        <v>77</v>
      </c>
      <c r="H140" s="17" t="s">
        <v>115</v>
      </c>
      <c r="I140" s="17" t="s">
        <v>646</v>
      </c>
      <c r="J140" s="17" t="s">
        <v>278</v>
      </c>
      <c r="K140" s="17" t="s">
        <v>77</v>
      </c>
      <c r="L140" s="17" t="s">
        <v>77</v>
      </c>
      <c r="M140" s="17" t="s">
        <v>77</v>
      </c>
      <c r="N140" s="17" t="s">
        <v>77</v>
      </c>
      <c r="O140" s="17" t="s">
        <v>279</v>
      </c>
      <c r="P140" s="17" t="s">
        <v>188</v>
      </c>
      <c r="Q140" s="17" t="s">
        <v>77</v>
      </c>
      <c r="R140" s="17" t="s">
        <v>91</v>
      </c>
      <c r="S140" s="17">
        <v>2</v>
      </c>
      <c r="T140" s="17" t="s">
        <v>731</v>
      </c>
      <c r="U140" s="17" t="str" cm="1">
        <f t="array" ref="U140">_xlfn.REGEXEXTRACT(B140,"(?&lt;=//)[^/]+")</f>
        <v>heavyfetish.com</v>
      </c>
    </row>
    <row r="141" spans="1:21" ht="30" x14ac:dyDescent="0.25">
      <c r="A141" s="17" t="str">
        <f>IF(ISBLANK(R141)=TRUE,"Pending","Done")</f>
        <v>Done</v>
      </c>
      <c r="B141" s="17" t="s">
        <v>267</v>
      </c>
      <c r="C141" s="17">
        <v>14</v>
      </c>
      <c r="D141" s="17" t="s">
        <v>268</v>
      </c>
      <c r="E141" s="17" t="s">
        <v>269</v>
      </c>
      <c r="F141" s="17" t="s">
        <v>77</v>
      </c>
      <c r="G141" s="17" t="s">
        <v>77</v>
      </c>
      <c r="H141" s="17" t="s">
        <v>192</v>
      </c>
      <c r="I141" s="17" t="s">
        <v>270</v>
      </c>
      <c r="J141" s="17" t="s">
        <v>271</v>
      </c>
      <c r="K141" s="17" t="s">
        <v>272</v>
      </c>
      <c r="L141" s="17" t="s">
        <v>101</v>
      </c>
      <c r="M141" s="17" t="s">
        <v>273</v>
      </c>
      <c r="N141" s="17" t="s">
        <v>274</v>
      </c>
      <c r="O141" s="17" t="s">
        <v>188</v>
      </c>
      <c r="P141" s="17" t="s">
        <v>77</v>
      </c>
      <c r="Q141" s="17" t="s">
        <v>77</v>
      </c>
      <c r="R141" s="17" t="s">
        <v>91</v>
      </c>
      <c r="S141" s="17">
        <v>2</v>
      </c>
      <c r="T141" s="17" t="s">
        <v>730</v>
      </c>
      <c r="U141" s="17" t="str" cm="1">
        <f t="array" ref="U141">_xlfn.REGEXEXTRACT(B141,"(?&lt;=//)[^/]+")</f>
        <v>heavyfetish.com</v>
      </c>
    </row>
    <row r="142" spans="1:21" ht="45" x14ac:dyDescent="0.25">
      <c r="A142" s="17" t="str">
        <f>IF(ISBLANK(R142)=TRUE,"Pending","Done")</f>
        <v>Done</v>
      </c>
      <c r="B142" s="17" t="s">
        <v>281</v>
      </c>
      <c r="C142" s="17">
        <v>48</v>
      </c>
      <c r="D142" s="17" t="s">
        <v>227</v>
      </c>
      <c r="E142" s="17" t="s">
        <v>227</v>
      </c>
      <c r="F142" s="17" t="s">
        <v>77</v>
      </c>
      <c r="G142" s="17" t="s">
        <v>77</v>
      </c>
      <c r="H142" s="17" t="s">
        <v>117</v>
      </c>
      <c r="I142" s="17" t="s">
        <v>503</v>
      </c>
      <c r="J142" s="17" t="s">
        <v>77</v>
      </c>
      <c r="K142" s="17" t="s">
        <v>77</v>
      </c>
      <c r="L142" s="17" t="s">
        <v>77</v>
      </c>
      <c r="M142" s="17" t="s">
        <v>77</v>
      </c>
      <c r="N142" s="17" t="s">
        <v>77</v>
      </c>
      <c r="O142" s="17" t="s">
        <v>254</v>
      </c>
      <c r="P142" s="17" t="s">
        <v>188</v>
      </c>
      <c r="Q142" s="17" t="s">
        <v>77</v>
      </c>
      <c r="R142" s="17" t="s">
        <v>91</v>
      </c>
      <c r="S142" s="17">
        <v>1</v>
      </c>
      <c r="T142" s="17" t="s">
        <v>521</v>
      </c>
      <c r="U142" s="17" t="str" cm="1">
        <f t="array" ref="U142">_xlfn.REGEXEXTRACT(B142,"(?&lt;=//)[^/]+")</f>
        <v>heavyfetish.com</v>
      </c>
    </row>
    <row r="143" spans="1:21" ht="30" x14ac:dyDescent="0.25">
      <c r="A143" s="17" t="str">
        <f>IF(ISBLANK(R143)=TRUE,"Pending","Done")</f>
        <v>Done</v>
      </c>
      <c r="B143" s="17" t="s">
        <v>222</v>
      </c>
      <c r="C143" s="17">
        <v>34</v>
      </c>
      <c r="D143" s="17" t="s">
        <v>227</v>
      </c>
      <c r="E143" s="17" t="s">
        <v>225</v>
      </c>
      <c r="F143" s="17" t="s">
        <v>226</v>
      </c>
      <c r="G143" s="17" t="s">
        <v>77</v>
      </c>
      <c r="H143" s="17" t="s">
        <v>117</v>
      </c>
      <c r="I143" s="17" t="s">
        <v>194</v>
      </c>
      <c r="J143" s="17" t="s">
        <v>229</v>
      </c>
      <c r="K143" s="17" t="s">
        <v>146</v>
      </c>
      <c r="L143" s="17" t="s">
        <v>100</v>
      </c>
      <c r="M143" s="17" t="s">
        <v>77</v>
      </c>
      <c r="N143" s="17" t="s">
        <v>77</v>
      </c>
      <c r="O143" s="17" t="s">
        <v>228</v>
      </c>
      <c r="P143" s="17" t="s">
        <v>77</v>
      </c>
      <c r="Q143" s="17" t="s">
        <v>77</v>
      </c>
      <c r="R143" s="17" t="s">
        <v>91</v>
      </c>
      <c r="S143" s="17">
        <v>1</v>
      </c>
      <c r="T143" s="17" t="s">
        <v>230</v>
      </c>
      <c r="U143" s="17" t="str" cm="1">
        <f t="array" ref="U143">_xlfn.REGEXEXTRACT(B143,"(?&lt;=//)[^/]+")</f>
        <v>heavyfetish.com</v>
      </c>
    </row>
    <row r="144" spans="1:21" ht="30" x14ac:dyDescent="0.25">
      <c r="A144" s="17" t="str">
        <f>IF(ISBLANK(R144)=TRUE,"Pending","Done")</f>
        <v>Done</v>
      </c>
      <c r="B144" s="17" t="s">
        <v>3</v>
      </c>
      <c r="C144" s="17">
        <v>11</v>
      </c>
      <c r="D144" s="17" t="s">
        <v>343</v>
      </c>
      <c r="E144" s="17" t="s">
        <v>167</v>
      </c>
      <c r="F144" s="17" t="s">
        <v>77</v>
      </c>
      <c r="G144" s="17" t="s">
        <v>77</v>
      </c>
      <c r="H144" s="17" t="s">
        <v>367</v>
      </c>
      <c r="I144" s="17" t="s">
        <v>339</v>
      </c>
      <c r="J144" s="17" t="s">
        <v>340</v>
      </c>
      <c r="K144" s="17" t="s">
        <v>341</v>
      </c>
      <c r="L144" s="17" t="s">
        <v>344</v>
      </c>
      <c r="M144" s="17" t="s">
        <v>77</v>
      </c>
      <c r="N144" s="17" t="s">
        <v>77</v>
      </c>
      <c r="O144" s="17" t="s">
        <v>342</v>
      </c>
      <c r="P144" s="17" t="s">
        <v>332</v>
      </c>
      <c r="Q144" s="17" t="s">
        <v>77</v>
      </c>
      <c r="R144" s="17" t="s">
        <v>91</v>
      </c>
      <c r="S144" s="17">
        <v>1</v>
      </c>
      <c r="T144" s="17" t="s">
        <v>345</v>
      </c>
      <c r="U144" s="17" t="str" cm="1">
        <f t="array" ref="U144">_xlfn.REGEXEXTRACT(B144,"(?&lt;=//)[^/]+")</f>
        <v>www.pornhub.com</v>
      </c>
    </row>
    <row r="145" spans="1:21" ht="45" x14ac:dyDescent="0.25">
      <c r="A145" s="17" t="str">
        <f>IF(ISBLANK(R145)=TRUE,"Pending","Done")</f>
        <v>Pending</v>
      </c>
      <c r="B145" s="17" t="s">
        <v>827</v>
      </c>
      <c r="C145" s="17">
        <v>51</v>
      </c>
      <c r="D145" s="17" t="s">
        <v>261</v>
      </c>
      <c r="E145" s="17" t="s">
        <v>816</v>
      </c>
      <c r="F145" s="17" t="s">
        <v>828</v>
      </c>
      <c r="G145" s="17" t="s">
        <v>77</v>
      </c>
      <c r="H145" s="17" t="s">
        <v>117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 t="str" cm="1">
        <f t="array" ref="U145">_xlfn.REGEXEXTRACT(B145,"(?&lt;=//)[^/]+")</f>
        <v>tube.perverzija.com</v>
      </c>
    </row>
    <row r="146" spans="1:21" ht="30" x14ac:dyDescent="0.25">
      <c r="A146" s="17" t="str">
        <f>IF(ISBLANK(R146)=TRUE,"Pending","Done")</f>
        <v>Pending</v>
      </c>
      <c r="B146" s="17" t="s">
        <v>829</v>
      </c>
      <c r="C146" s="17">
        <v>50</v>
      </c>
      <c r="D146" s="17" t="s">
        <v>692</v>
      </c>
      <c r="E146" s="17" t="s">
        <v>810</v>
      </c>
      <c r="F146" s="17" t="s">
        <v>217</v>
      </c>
      <c r="G146" s="17" t="s">
        <v>77</v>
      </c>
      <c r="H146" s="17" t="s">
        <v>192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 t="str" cm="1">
        <f t="array" ref="U146">_xlfn.REGEXEXTRACT(B146,"(?&lt;=//)[^/]+")</f>
        <v>tube.perverzija.com</v>
      </c>
    </row>
    <row r="147" spans="1:21" ht="45" x14ac:dyDescent="0.25">
      <c r="A147" s="17" t="s">
        <v>831</v>
      </c>
      <c r="B147" s="17" t="s">
        <v>833</v>
      </c>
      <c r="C147" s="17">
        <v>10</v>
      </c>
      <c r="D147" s="17" t="s">
        <v>729</v>
      </c>
      <c r="E147" s="17" t="s">
        <v>729</v>
      </c>
      <c r="F147" s="17" t="s">
        <v>77</v>
      </c>
      <c r="G147" s="17" t="s">
        <v>77</v>
      </c>
      <c r="H147" s="17" t="s">
        <v>116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 t="str" cm="1">
        <f t="array" ref="U147">_xlfn.REGEXEXTRACT(B147,"(?&lt;=//)[^/]+")</f>
        <v>abbdsm.com</v>
      </c>
    </row>
    <row r="148" spans="1:21" ht="30" x14ac:dyDescent="0.25">
      <c r="A148" s="17" t="s">
        <v>831</v>
      </c>
      <c r="B148" s="17" t="s">
        <v>834</v>
      </c>
      <c r="C148" s="17">
        <v>11</v>
      </c>
      <c r="D148" s="17" t="s">
        <v>260</v>
      </c>
      <c r="E148" s="17" t="s">
        <v>729</v>
      </c>
      <c r="F148" s="17" t="s">
        <v>77</v>
      </c>
      <c r="G148" s="17" t="s">
        <v>77</v>
      </c>
      <c r="H148" s="17" t="s">
        <v>116</v>
      </c>
      <c r="I148" s="17" t="s">
        <v>533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 t="str" cm="1">
        <f t="array" ref="U148">_xlfn.REGEXEXTRACT(B148,"(?&lt;=//)[^/]+")</f>
        <v>xhamster44.desi</v>
      </c>
    </row>
    <row r="149" spans="1:21" ht="30" x14ac:dyDescent="0.25">
      <c r="A149" s="17" t="s">
        <v>831</v>
      </c>
      <c r="B149" s="17" t="s">
        <v>835</v>
      </c>
      <c r="C149" s="17">
        <v>0</v>
      </c>
      <c r="D149" s="17" t="s">
        <v>796</v>
      </c>
      <c r="E149" s="17" t="s">
        <v>729</v>
      </c>
      <c r="F149" s="17" t="s">
        <v>77</v>
      </c>
      <c r="G149" s="17" t="s">
        <v>77</v>
      </c>
      <c r="H149" s="17" t="s">
        <v>368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 t="str" cm="1">
        <f t="array" ref="U149">_xlfn.REGEXEXTRACT(B149,"(?&lt;=//)[^/]+")</f>
        <v>www.tubebdsm.com</v>
      </c>
    </row>
    <row r="150" spans="1:21" ht="30" x14ac:dyDescent="0.25">
      <c r="A150" s="17" t="s">
        <v>831</v>
      </c>
      <c r="B150" s="17" t="s">
        <v>836</v>
      </c>
      <c r="C150" s="17">
        <v>0</v>
      </c>
      <c r="D150" s="17" t="s">
        <v>796</v>
      </c>
      <c r="E150" s="17" t="s">
        <v>729</v>
      </c>
      <c r="F150" s="17" t="s">
        <v>77</v>
      </c>
      <c r="G150" s="17" t="s">
        <v>77</v>
      </c>
      <c r="H150" s="17" t="s">
        <v>116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 t="str" cm="1">
        <f t="array" ref="U150">_xlfn.REGEXEXTRACT(B150,"(?&lt;=//)[^/]+")</f>
        <v>www.tubebdsm.com</v>
      </c>
    </row>
    <row r="151" spans="1:21" ht="30" x14ac:dyDescent="0.25">
      <c r="A151" s="17" t="s">
        <v>831</v>
      </c>
      <c r="B151" s="17" t="s">
        <v>832</v>
      </c>
      <c r="C151" s="17">
        <v>0</v>
      </c>
      <c r="D151" s="17" t="s">
        <v>796</v>
      </c>
      <c r="E151" s="17" t="s">
        <v>729</v>
      </c>
      <c r="F151" s="17" t="s">
        <v>77</v>
      </c>
      <c r="G151" s="17" t="s">
        <v>77</v>
      </c>
      <c r="H151" s="17" t="s">
        <v>116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 t="str" cm="1">
        <f t="array" ref="U151">_xlfn.REGEXEXTRACT(B151,"(?&lt;=//)[^/]+")</f>
        <v>www.tubebdsm.com</v>
      </c>
    </row>
    <row r="152" spans="1:21" ht="30" x14ac:dyDescent="0.25">
      <c r="A152" s="17" t="str">
        <f>IF(ISBLANK(R152)=TRUE,"Pending","Done")</f>
        <v>Pending</v>
      </c>
      <c r="B152" s="17" t="s">
        <v>830</v>
      </c>
      <c r="C152" s="17">
        <v>99</v>
      </c>
      <c r="D152" s="17" t="s">
        <v>729</v>
      </c>
      <c r="E152" s="17" t="s">
        <v>729</v>
      </c>
      <c r="F152" s="17" t="s">
        <v>77</v>
      </c>
      <c r="G152" s="17" t="s">
        <v>77</v>
      </c>
      <c r="H152" s="17" t="s">
        <v>116</v>
      </c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 t="str" cm="1">
        <f t="array" ref="U152">_xlfn.REGEXEXTRACT(B152,"(?&lt;=//)[^/]+")</f>
        <v>xhamster44.desi</v>
      </c>
    </row>
    <row r="153" spans="1:21" ht="30" x14ac:dyDescent="0.25">
      <c r="A153" s="17" t="str">
        <f>IF(ISBLANK(R153)=TRUE,"Pending","Done")</f>
        <v>Pending</v>
      </c>
      <c r="B153" s="17" t="s">
        <v>837</v>
      </c>
      <c r="C153" s="17">
        <v>0</v>
      </c>
      <c r="D153" s="17" t="s">
        <v>796</v>
      </c>
      <c r="E153" s="17" t="s">
        <v>729</v>
      </c>
      <c r="F153" s="17" t="s">
        <v>77</v>
      </c>
      <c r="G153" s="17" t="s">
        <v>77</v>
      </c>
      <c r="H153" s="17" t="s">
        <v>192</v>
      </c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 t="str" cm="1">
        <f t="array" ref="U153">_xlfn.REGEXEXTRACT(B153,"(?&lt;=//)[^/]+")</f>
        <v>www.tubebdsm.com</v>
      </c>
    </row>
    <row r="154" spans="1:21" ht="60" x14ac:dyDescent="0.25">
      <c r="A154" s="17" t="str">
        <f>IF(ISBLANK(R154)=TRUE,"Pending","Done")</f>
        <v>Pending</v>
      </c>
      <c r="B154" s="17" t="s">
        <v>841</v>
      </c>
      <c r="C154" s="17">
        <v>44</v>
      </c>
      <c r="D154" s="17" t="s">
        <v>190</v>
      </c>
      <c r="E154" s="17" t="s">
        <v>729</v>
      </c>
      <c r="F154" s="17" t="s">
        <v>77</v>
      </c>
      <c r="G154" s="17" t="s">
        <v>77</v>
      </c>
      <c r="H154" s="17" t="s">
        <v>192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ht="45" x14ac:dyDescent="0.25">
      <c r="A155" s="17" t="str">
        <f>IF(ISBLANK(R155)=TRUE,"Pending","Done")</f>
        <v>Pending</v>
      </c>
      <c r="B155" s="17" t="s">
        <v>839</v>
      </c>
      <c r="C155" s="17">
        <v>21</v>
      </c>
      <c r="D155" s="17" t="s">
        <v>840</v>
      </c>
      <c r="E155" s="17" t="s">
        <v>840</v>
      </c>
      <c r="F155" s="17" t="s">
        <v>77</v>
      </c>
      <c r="G155" s="17" t="s">
        <v>77</v>
      </c>
      <c r="H155" s="17" t="s">
        <v>192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 t="str" cm="1">
        <f t="array" ref="U155">_xlfn.REGEXEXTRACT(B155,"(?&lt;=//)[^/]+")</f>
        <v>xhamster44.desi</v>
      </c>
    </row>
    <row r="156" spans="1:21" ht="30" x14ac:dyDescent="0.25">
      <c r="A156" s="17" t="str">
        <f>IF(ISBLANK(R156)=TRUE,"Pending","Done")</f>
        <v>Pending</v>
      </c>
      <c r="B156" s="17" t="s">
        <v>838</v>
      </c>
      <c r="C156" s="17">
        <v>0</v>
      </c>
      <c r="D156" s="17" t="s">
        <v>796</v>
      </c>
      <c r="E156" s="17" t="s">
        <v>729</v>
      </c>
      <c r="F156" s="17" t="s">
        <v>77</v>
      </c>
      <c r="G156" s="17" t="s">
        <v>77</v>
      </c>
      <c r="H156" s="17" t="s">
        <v>192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 t="str" cm="1">
        <f t="array" ref="U156">_xlfn.REGEXEXTRACT(B156,"(?&lt;=//)[^/]+")</f>
        <v>www.tubebdsm.com</v>
      </c>
    </row>
  </sheetData>
  <autoFilter ref="A1:U156" xr:uid="{84BC93B7-B882-48B2-AAF6-D1E0B3702CB8}"/>
  <sortState xmlns:xlrd2="http://schemas.microsoft.com/office/spreadsheetml/2017/richdata2" ref="A2:U156">
    <sortCondition descending="1" ref="S1:S156"/>
  </sortState>
  <phoneticPr fontId="1" type="noConversion"/>
  <conditionalFormatting sqref="A1:U125 A126:XFD1048576">
    <cfRule type="cellIs" dxfId="1" priority="3" operator="equal">
      <formula>"-"</formula>
    </cfRule>
  </conditionalFormatting>
  <conditionalFormatting sqref="S1:S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" right="0" top="0" bottom="0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F2D5-8484-4D0C-86D0-D24E81A20C64}">
  <dimension ref="A1:I16"/>
  <sheetViews>
    <sheetView workbookViewId="0">
      <selection activeCell="I5" sqref="I5"/>
    </sheetView>
  </sheetViews>
  <sheetFormatPr defaultRowHeight="15" x14ac:dyDescent="0.25"/>
  <cols>
    <col min="1" max="1" width="7.28515625" bestFit="1" customWidth="1"/>
    <col min="2" max="2" width="7.7109375" bestFit="1" customWidth="1"/>
    <col min="3" max="3" width="9.42578125" bestFit="1" customWidth="1"/>
    <col min="4" max="4" width="24.28515625" bestFit="1" customWidth="1"/>
    <col min="5" max="5" width="7.28515625" bestFit="1" customWidth="1"/>
    <col min="6" max="6" width="7.7109375" bestFit="1" customWidth="1"/>
    <col min="7" max="7" width="7.28515625" bestFit="1" customWidth="1"/>
    <col min="8" max="8" width="7.7109375" bestFit="1" customWidth="1"/>
    <col min="9" max="9" width="9.42578125" bestFit="1" customWidth="1"/>
    <col min="18" max="18" width="7.28515625" bestFit="1" customWidth="1"/>
    <col min="19" max="19" width="7.7109375" bestFit="1" customWidth="1"/>
    <col min="20" max="20" width="9.42578125" bestFit="1" customWidth="1"/>
  </cols>
  <sheetData>
    <row r="1" spans="1:9" x14ac:dyDescent="0.25">
      <c r="A1" s="8" t="s">
        <v>369</v>
      </c>
      <c r="B1" s="7" t="s">
        <v>370</v>
      </c>
      <c r="C1" s="10" t="s">
        <v>372</v>
      </c>
      <c r="D1" s="7" t="str">
        <f>_xlfn.CONCAT(A1,"-",B1,"-",C1)</f>
        <v>bdsm-soft-maledom</v>
      </c>
    </row>
    <row r="2" spans="1:9" x14ac:dyDescent="0.25">
      <c r="A2" s="8" t="s">
        <v>369</v>
      </c>
      <c r="B2" s="7" t="s">
        <v>370</v>
      </c>
      <c r="C2" s="11" t="s">
        <v>373</v>
      </c>
      <c r="D2" s="7" t="str">
        <f t="shared" ref="D2:D6" si="0">_xlfn.CONCAT(A2,"-",B2,"-",C2)</f>
        <v>bdsm-soft-femdom</v>
      </c>
      <c r="G2" s="9" t="s">
        <v>375</v>
      </c>
      <c r="H2" s="6" t="s">
        <v>376</v>
      </c>
      <c r="I2" s="13" t="s">
        <v>378</v>
      </c>
    </row>
    <row r="3" spans="1:9" x14ac:dyDescent="0.25">
      <c r="A3" s="8" t="s">
        <v>369</v>
      </c>
      <c r="B3" s="7" t="s">
        <v>370</v>
      </c>
      <c r="C3" s="12" t="s">
        <v>374</v>
      </c>
      <c r="D3" s="7" t="str">
        <f t="shared" si="0"/>
        <v>bdsm-soft-lesdom</v>
      </c>
      <c r="H3" s="7" t="s">
        <v>377</v>
      </c>
      <c r="I3" s="10" t="s">
        <v>372</v>
      </c>
    </row>
    <row r="4" spans="1:9" x14ac:dyDescent="0.25">
      <c r="A4" s="8" t="s">
        <v>369</v>
      </c>
      <c r="B4" s="6" t="s">
        <v>371</v>
      </c>
      <c r="C4" s="10" t="s">
        <v>372</v>
      </c>
      <c r="D4" s="6" t="str">
        <f t="shared" si="0"/>
        <v>bdsm-hard-maledom</v>
      </c>
      <c r="I4" s="11" t="s">
        <v>373</v>
      </c>
    </row>
    <row r="5" spans="1:9" x14ac:dyDescent="0.25">
      <c r="A5" s="8" t="s">
        <v>369</v>
      </c>
      <c r="B5" s="6" t="s">
        <v>371</v>
      </c>
      <c r="C5" s="11" t="s">
        <v>373</v>
      </c>
      <c r="D5" s="6" t="str">
        <f t="shared" si="0"/>
        <v>bdsm-hard-femdom</v>
      </c>
      <c r="I5" s="12" t="s">
        <v>374</v>
      </c>
    </row>
    <row r="6" spans="1:9" x14ac:dyDescent="0.25">
      <c r="A6" s="8" t="s">
        <v>369</v>
      </c>
      <c r="B6" s="6" t="s">
        <v>371</v>
      </c>
      <c r="C6" s="12" t="s">
        <v>374</v>
      </c>
      <c r="D6" s="6" t="str">
        <f t="shared" si="0"/>
        <v>bdsm-hard-lesdom</v>
      </c>
      <c r="I6" s="14" t="s">
        <v>106</v>
      </c>
    </row>
    <row r="7" spans="1:9" x14ac:dyDescent="0.25">
      <c r="A7" s="9" t="s">
        <v>375</v>
      </c>
      <c r="B7" s="6" t="s">
        <v>376</v>
      </c>
      <c r="C7" s="13" t="s">
        <v>378</v>
      </c>
      <c r="D7" s="6" t="str">
        <f>_xlfn.CONCAT(A7,"-",B7,"-",C7)</f>
        <v>normal-rough-cis</v>
      </c>
    </row>
    <row r="8" spans="1:9" x14ac:dyDescent="0.25">
      <c r="A8" s="9" t="s">
        <v>375</v>
      </c>
      <c r="B8" s="6" t="s">
        <v>376</v>
      </c>
      <c r="C8" s="10" t="s">
        <v>372</v>
      </c>
      <c r="D8" s="6" t="str">
        <f t="shared" ref="D8:D16" si="1">_xlfn.CONCAT(A8,"-",B8,"-",C8)</f>
        <v>normal-rough-maledom</v>
      </c>
      <c r="G8" s="8" t="s">
        <v>369</v>
      </c>
      <c r="H8" s="7" t="s">
        <v>370</v>
      </c>
      <c r="I8" s="10" t="s">
        <v>372</v>
      </c>
    </row>
    <row r="9" spans="1:9" x14ac:dyDescent="0.25">
      <c r="A9" s="9" t="s">
        <v>375</v>
      </c>
      <c r="B9" s="6" t="s">
        <v>376</v>
      </c>
      <c r="C9" s="11" t="s">
        <v>373</v>
      </c>
      <c r="D9" s="6" t="str">
        <f t="shared" si="1"/>
        <v>normal-rough-femdom</v>
      </c>
      <c r="H9" s="6" t="s">
        <v>371</v>
      </c>
      <c r="I9" s="11" t="s">
        <v>373</v>
      </c>
    </row>
    <row r="10" spans="1:9" x14ac:dyDescent="0.25">
      <c r="A10" s="9" t="s">
        <v>375</v>
      </c>
      <c r="B10" s="6" t="s">
        <v>376</v>
      </c>
      <c r="C10" s="12" t="s">
        <v>374</v>
      </c>
      <c r="D10" s="6" t="str">
        <f t="shared" si="1"/>
        <v>normal-rough-lesdom</v>
      </c>
      <c r="I10" s="12" t="s">
        <v>374</v>
      </c>
    </row>
    <row r="11" spans="1:9" x14ac:dyDescent="0.25">
      <c r="A11" s="9" t="s">
        <v>375</v>
      </c>
      <c r="B11" s="6" t="s">
        <v>376</v>
      </c>
      <c r="C11" s="14" t="s">
        <v>106</v>
      </c>
      <c r="D11" s="6" t="str">
        <f t="shared" si="1"/>
        <v>normal-rough-lesbian</v>
      </c>
    </row>
    <row r="12" spans="1:9" x14ac:dyDescent="0.25">
      <c r="A12" s="9" t="s">
        <v>375</v>
      </c>
      <c r="B12" s="7" t="s">
        <v>377</v>
      </c>
      <c r="C12" s="13" t="s">
        <v>378</v>
      </c>
      <c r="D12" s="7" t="str">
        <f t="shared" si="1"/>
        <v>normal-sensual-cis</v>
      </c>
    </row>
    <row r="13" spans="1:9" x14ac:dyDescent="0.25">
      <c r="A13" s="9" t="s">
        <v>375</v>
      </c>
      <c r="B13" s="7" t="s">
        <v>377</v>
      </c>
      <c r="C13" s="10" t="s">
        <v>372</v>
      </c>
      <c r="D13" s="7" t="str">
        <f t="shared" si="1"/>
        <v>normal-sensual-maledom</v>
      </c>
    </row>
    <row r="14" spans="1:9" x14ac:dyDescent="0.25">
      <c r="A14" s="9" t="s">
        <v>375</v>
      </c>
      <c r="B14" s="7" t="s">
        <v>377</v>
      </c>
      <c r="C14" s="11" t="s">
        <v>373</v>
      </c>
      <c r="D14" s="7" t="str">
        <f t="shared" si="1"/>
        <v>normal-sensual-femdom</v>
      </c>
    </row>
    <row r="15" spans="1:9" x14ac:dyDescent="0.25">
      <c r="A15" s="9" t="s">
        <v>375</v>
      </c>
      <c r="B15" s="7" t="s">
        <v>377</v>
      </c>
      <c r="C15" s="12" t="s">
        <v>374</v>
      </c>
      <c r="D15" s="7" t="str">
        <f t="shared" si="1"/>
        <v>normal-sensual-lesdom</v>
      </c>
    </row>
    <row r="16" spans="1:9" x14ac:dyDescent="0.25">
      <c r="A16" s="9" t="s">
        <v>375</v>
      </c>
      <c r="B16" s="7" t="s">
        <v>377</v>
      </c>
      <c r="C16" s="14" t="s">
        <v>106</v>
      </c>
      <c r="D16" s="7" t="str">
        <f t="shared" si="1"/>
        <v>normal-sensual-lesbian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2AE3-C0BD-4F92-A538-4F0B11256815}">
  <dimension ref="A1:B18"/>
  <sheetViews>
    <sheetView workbookViewId="0">
      <selection activeCell="C17" sqref="C17"/>
    </sheetView>
  </sheetViews>
  <sheetFormatPr defaultRowHeight="15" x14ac:dyDescent="0.25"/>
  <cols>
    <col min="1" max="1" width="120" style="1" bestFit="1" customWidth="1"/>
    <col min="2" max="16384" width="9.140625" style="1"/>
  </cols>
  <sheetData>
    <row r="1" spans="1:2" x14ac:dyDescent="0.25">
      <c r="A1" s="2" t="s">
        <v>90</v>
      </c>
      <c r="B1" s="2" t="s">
        <v>214</v>
      </c>
    </row>
    <row r="2" spans="1:2" x14ac:dyDescent="0.25">
      <c r="A2" s="3" t="s">
        <v>51</v>
      </c>
      <c r="B2" s="4" t="s">
        <v>213</v>
      </c>
    </row>
    <row r="3" spans="1:2" x14ac:dyDescent="0.25">
      <c r="A3" s="5" t="s">
        <v>50</v>
      </c>
      <c r="B3" s="4" t="s">
        <v>213</v>
      </c>
    </row>
    <row r="4" spans="1:2" x14ac:dyDescent="0.25">
      <c r="A4" s="3" t="s">
        <v>39</v>
      </c>
      <c r="B4" s="4" t="s">
        <v>213</v>
      </c>
    </row>
    <row r="5" spans="1:2" x14ac:dyDescent="0.25">
      <c r="A5" s="5" t="s">
        <v>56</v>
      </c>
      <c r="B5" s="4" t="s">
        <v>213</v>
      </c>
    </row>
    <row r="6" spans="1:2" x14ac:dyDescent="0.25">
      <c r="A6" s="5" t="s">
        <v>55</v>
      </c>
      <c r="B6" s="4" t="s">
        <v>213</v>
      </c>
    </row>
    <row r="7" spans="1:2" x14ac:dyDescent="0.25">
      <c r="A7" s="5" t="s">
        <v>53</v>
      </c>
      <c r="B7" s="4" t="s">
        <v>213</v>
      </c>
    </row>
    <row r="8" spans="1:2" x14ac:dyDescent="0.25">
      <c r="A8" s="5" t="s">
        <v>37</v>
      </c>
      <c r="B8" s="4" t="s">
        <v>213</v>
      </c>
    </row>
    <row r="9" spans="1:2" x14ac:dyDescent="0.25">
      <c r="A9" s="5" t="s">
        <v>31</v>
      </c>
      <c r="B9" s="4" t="s">
        <v>213</v>
      </c>
    </row>
    <row r="10" spans="1:2" x14ac:dyDescent="0.25">
      <c r="A10" s="5" t="s">
        <v>33</v>
      </c>
      <c r="B10" s="4" t="s">
        <v>213</v>
      </c>
    </row>
    <row r="11" spans="1:2" x14ac:dyDescent="0.25">
      <c r="A11" s="5" t="s">
        <v>32</v>
      </c>
      <c r="B11" s="4" t="s">
        <v>213</v>
      </c>
    </row>
    <row r="12" spans="1:2" x14ac:dyDescent="0.25">
      <c r="A12" s="5" t="s">
        <v>58</v>
      </c>
      <c r="B12" s="4" t="s">
        <v>213</v>
      </c>
    </row>
    <row r="13" spans="1:2" x14ac:dyDescent="0.25">
      <c r="A13" s="5" t="s">
        <v>61</v>
      </c>
      <c r="B13" s="4" t="s">
        <v>213</v>
      </c>
    </row>
    <row r="14" spans="1:2" x14ac:dyDescent="0.25">
      <c r="A14" s="5" t="s">
        <v>59</v>
      </c>
      <c r="B14" s="4" t="s">
        <v>213</v>
      </c>
    </row>
    <row r="15" spans="1:2" x14ac:dyDescent="0.25">
      <c r="A15" s="3" t="s">
        <v>52</v>
      </c>
      <c r="B15" s="4" t="s">
        <v>213</v>
      </c>
    </row>
    <row r="16" spans="1:2" x14ac:dyDescent="0.25">
      <c r="A16" s="5" t="s">
        <v>70</v>
      </c>
      <c r="B16" s="4" t="s">
        <v>213</v>
      </c>
    </row>
    <row r="17" spans="1:2" x14ac:dyDescent="0.25">
      <c r="A17" s="5" t="s">
        <v>54</v>
      </c>
      <c r="B17" s="4" t="s">
        <v>213</v>
      </c>
    </row>
    <row r="18" spans="1:2" x14ac:dyDescent="0.25">
      <c r="A18" s="5" t="s">
        <v>57</v>
      </c>
      <c r="B18" s="4" t="s">
        <v>213</v>
      </c>
    </row>
  </sheetData>
  <conditionalFormatting sqref="A2:A18">
    <cfRule type="cellIs" dxfId="0" priority="1" operator="equal">
      <formula>"-"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main_links</vt:lpstr>
      <vt:lpstr>Core_cat</vt:lpstr>
      <vt:lpstr>bdsmvilla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Tikhe</dc:creator>
  <cp:lastModifiedBy>Dhruva Tikhe</cp:lastModifiedBy>
  <cp:lastPrinted>2025-09-11T13:00:18Z</cp:lastPrinted>
  <dcterms:created xsi:type="dcterms:W3CDTF">2015-06-05T18:17:20Z</dcterms:created>
  <dcterms:modified xsi:type="dcterms:W3CDTF">2026-02-26T17:58:03Z</dcterms:modified>
</cp:coreProperties>
</file>